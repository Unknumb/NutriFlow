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8F98C80B-DCD2-4435-945B-99BC26C91EB1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Pruebas Estandar " sheetId="1" r:id="rId1"/>
    <sheet name="Casos de Prueba" sheetId="2" r:id="rId2"/>
    <sheet name="Totales" sheetId="3" r:id="rId3"/>
  </sheets>
  <definedNames>
    <definedName name="_xlnm._FilterDatabase" localSheetId="1" hidden="1">'Casos de Prueba'!$A$12:$N$13</definedName>
    <definedName name="_xlnm.Print_Area" localSheetId="1">'Casos de Prueba'!$C$1:$N$534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C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100-000001000000}">
      <text>
        <r>
          <rPr>
            <sz val="10"/>
            <rFont val="Arial"/>
            <family val="2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rFont val="Arial"/>
            <family val="2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rFont val="Arial"/>
            <family val="2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rFont val="Arial"/>
            <family val="2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rFont val="Arial"/>
            <family val="2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rFont val="Arial"/>
            <family val="2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rFont val="Arial"/>
            <family val="2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rFont val="Arial"/>
            <family val="2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rFont val="Arial"/>
            <family val="2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rFont val="Arial"/>
            <family val="2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<sst xmlns="http://schemas.openxmlformats.org/spreadsheetml/2006/main" count="935" uniqueCount="637">
  <si>
    <t>Casos de Pruebas Estándar</t>
  </si>
  <si>
    <t>Todos los hitos deben ser marcados en el casillero respectivo con los siguientes estados:</t>
  </si>
  <si>
    <t>OK: El hito cumple lo indicado  -  NC: No cumple el ítem en forma óptima  -  NA: No aplica el ítem al componente/aplicación a evaluar</t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</si>
  <si>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</si>
  <si>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</si>
  <si>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</si>
  <si>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</si>
  <si>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</si>
  <si>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</si>
  <si>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</si>
  <si>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</si>
  <si>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</si>
  <si>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</si>
  <si>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</si>
  <si>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</si>
  <si>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</si>
  <si>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</si>
  <si>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</si>
  <si>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</si>
  <si>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</si>
  <si>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</si>
  <si>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</si>
  <si>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</si>
  <si>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</si>
  <si>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</si>
  <si>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</si>
  <si>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</si>
  <si>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</si>
  <si>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</si>
  <si>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</si>
  <si>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</si>
  <si>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</si>
  <si>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</si>
  <si>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</si>
  <si>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</si>
  <si>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</si>
  <si>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</si>
  <si>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</si>
  <si>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</si>
  <si>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</si>
  <si>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</si>
  <si>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</si>
  <si>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</si>
  <si>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</si>
  <si>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Nutriflow</t>
  </si>
  <si>
    <t>MODULOS</t>
  </si>
  <si>
    <t>ModuloPrueba</t>
  </si>
  <si>
    <t>NOMBRE JEFE DE PROYECTO</t>
  </si>
  <si>
    <t>Alvaro Uribe</t>
  </si>
  <si>
    <t>NOMBRE ANALISTA TESTING</t>
  </si>
  <si>
    <t>Benjamín González y Alvaro Uribe</t>
  </si>
  <si>
    <t>Nº CICLO</t>
  </si>
  <si>
    <t>xx</t>
  </si>
  <si>
    <t>FECHA</t>
  </si>
  <si>
    <t>25-06-2026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</si>
  <si>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</si>
  <si>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</si>
  <si>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</si>
  <si>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</si>
  <si>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</si>
  <si>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</si>
  <si>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</si>
  <si>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</si>
  <si>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</si>
  <si>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</si>
  <si>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</si>
  <si>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</si>
  <si>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</si>
  <si>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</si>
  <si>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</si>
  <si>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</si>
  <si>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>Iniciar sesión</t>
  </si>
  <si>
    <t>Autenticación (Supabase Auth)</t>
  </si>
  <si>
    <t>Funcional</t>
  </si>
  <si>
    <t>CP-01</t>
  </si>
  <si>
    <t>Login con credenciales válidas</t>
  </si>
  <si>
    <t>1) Abrir /login
2) Ingresar email y contraseña
3) Presionar 'Iniciar sesión'</t>
  </si>
  <si>
    <t>nutri@nutriflow.cl / contraseña válida</t>
  </si>
  <si>
    <t>Supabase emite el JWT, el frontend lo almacena y redirige al dashboard</t>
  </si>
  <si>
    <t>X</t>
  </si>
  <si>
    <t>Acceso correcto; se muestra el dashboard del nutricionista</t>
  </si>
  <si>
    <t>Autenticación</t>
  </si>
  <si>
    <t>Validación</t>
  </si>
  <si>
    <t>CP-02</t>
  </si>
  <si>
    <t>Rechazo de credenciales inválidas</t>
  </si>
  <si>
    <t>1) Abrir /login
2) Ingresar contraseña errónea
3) Enviar</t>
  </si>
  <si>
    <t>email válido + contraseña incorrecta</t>
  </si>
  <si>
    <t>No se emite token, se muestra mensaje de error y permanece en /login</t>
  </si>
  <si>
    <t>El sistema informa credenciales inválidas y no permite el ingreso</t>
  </si>
  <si>
    <t>Crear paciente</t>
  </si>
  <si>
    <t>Pacientes</t>
  </si>
  <si>
    <t>CP-03</t>
  </si>
  <si>
    <t>Alta de paciente con RUT válido y evaluación inicial</t>
  </si>
  <si>
    <t>1) Pacientes → 'Nuevo paciente'
2) Completar datos + talla/peso
3) Guardar</t>
  </si>
  <si>
    <t>Juan Pérez, 1990-05-20, 175 cm, 70 kg, RUT 12.345.678-5</t>
  </si>
  <si>
    <t>Paciente creado con evaluación inicial; se invalida la caché y aparece en la lista</t>
  </si>
  <si>
    <t>Paciente creado y visible en el listado</t>
  </si>
  <si>
    <t>CP-04</t>
  </si>
  <si>
    <t>Rechazo de RUT con dígito verificador inválido</t>
  </si>
  <si>
    <t>1) 'Nuevo paciente'
2) Ingresar RUT con DV errado
3) Guardar</t>
  </si>
  <si>
    <t>RUT 12.345.678-0 (DV correcto = 5)</t>
  </si>
  <si>
    <t>HTTP 400: 'El RUT ingresado no es válido (verifica el dígito verificador)'</t>
  </si>
  <si>
    <t>El sistema bloquea el guardado y muestra el error de RUT</t>
  </si>
  <si>
    <t>Calcular TMB</t>
  </si>
  <si>
    <t>Calculadora metabólica (backend-math)</t>
  </si>
  <si>
    <t>CP-05</t>
  </si>
  <si>
    <t>Cálculo correcto por Harris-Benedict</t>
  </si>
  <si>
    <t>1) Abrir evaluación
2) Ingresar sexo/edad/talla/peso
3) Calcular TMB</t>
  </si>
  <si>
    <t>M, 30 años, 175 cm, 70 kg</t>
  </si>
  <si>
    <t>TMB = 1695,7 kcal  (88,362 + 13,397·70 + 4,799·175 − 5,677·30)</t>
  </si>
  <si>
    <t>El sistema devuelve 1695,7 kcal</t>
  </si>
  <si>
    <t>Cuadrar macros</t>
  </si>
  <si>
    <t>Cuadrador macronutrientes (backend-math)</t>
  </si>
  <si>
    <t>CP-06</t>
  </si>
  <si>
    <t>Que los porcentajes deban sumar 100%</t>
  </si>
  <si>
    <t>1) Macronutrientes → estrategia 'porcentajes'
2) Ingresar P40/G40/CHO30
3) Calcular</t>
  </si>
  <si>
    <t>proteína 40%, grasa 40%, carbohidrato 30% (=110)</t>
  </si>
  <si>
    <t>Error: 'Los porcentajes deben sumar 100. Suma actual: 110'</t>
  </si>
  <si>
    <t>El sistema rechaza y pide corregir la distribución</t>
  </si>
  <si>
    <t>Cuadrador macronutrientes</t>
  </si>
  <si>
    <t>CP-07</t>
  </si>
  <si>
    <t>Aceptación dentro de la tolerancia decimal</t>
  </si>
  <si>
    <t>1) Estrategia 'porcentajes'
2) Ingresar P33,3/G33,3/CHO33,4
3) Calcular</t>
  </si>
  <si>
    <t>33,3 / 33,3 / 33,4 (=100,0)</t>
  </si>
  <si>
    <t>Acepta la suma (rango [99,9–100,1]) y devuelve gramos/calorías por macro</t>
  </si>
  <si>
    <t>Cálculo correcto sin falso rechazo por coma flotante</t>
  </si>
  <si>
    <t>Armar pauta</t>
  </si>
  <si>
    <t>Pizarra / Armador (frontend dnd-kit)</t>
  </si>
  <si>
    <t>CP-08</t>
  </si>
  <si>
    <t>Arrastrar y soltar un alimento entre tiempos</t>
  </si>
  <si>
    <t>1) Abrir pizarra
2) Arrastrar 'Manzana' de Colación a Desayuno
3) Soltar</t>
  </si>
  <si>
    <t>Alimento 'Manzana': Colación → Desayuno</t>
  </si>
  <si>
    <t>El ítem se reubica y se recalculan los aportes del tiempo de comida</t>
  </si>
  <si>
    <t>El alimento se mueve y los totales se actualizan</t>
  </si>
  <si>
    <t>Consultar paciente</t>
  </si>
  <si>
    <t>Seguridad</t>
  </si>
  <si>
    <t>CP-09</t>
  </si>
  <si>
    <t>Aislamiento de datos entre nutricionistas</t>
  </si>
  <si>
    <t>1) Autenticado como Nutri A
2) Solicitar GET /pacientes/{id} de un paciente de Nutri B</t>
  </si>
  <si>
    <t>id de paciente ajeno</t>
  </si>
  <si>
    <t>HTTP 404: 'Paciente … no encontrado o no tienes permisos de acceso'</t>
  </si>
  <si>
    <t>Acceso denegado correctamente (404)</t>
  </si>
  <si>
    <t>Autenticación y sesión</t>
  </si>
  <si>
    <t>shared/hooks/useAuth</t>
  </si>
  <si>
    <t>CP-10</t>
  </si>
  <si>
    <t>Login y registro: traducción de errores de Supabase al español, email sin confirmar e identidad duplicada</t>
  </si>
  <si>
    <t>Test unitario (Vitest) del hook useAuth mockeando supabase.auth (signInWithPassword / signUp); se inspeccionan estados y retornos (6 tests)</t>
  </si>
  <si>
    <t>Credenciales válidas/erróneas; session=null; identities=[]</t>
  </si>
  <si>
    <t>Login OK deja loginError=null e isLoggingIn=false; error → mensaje traducido; signUp sin sesión → needsEmailConfirmation=true; identities vacío → error de correo duplicado</t>
  </si>
  <si>
    <t>6/6 aserciones del hook de autenticación cumplidas</t>
  </si>
  <si>
    <t>shared/store/useAuthStore</t>
  </si>
  <si>
    <t>CP-11</t>
  </si>
  <si>
    <t>Store de sesión (Zustand): estado inicial, setSession, setLoading y clear</t>
  </si>
  <si>
    <t>Test unitario del store; se ejecutan las acciones y se inspecciona getState() (6 tests)</t>
  </si>
  <si>
    <t>Sesión válida; null</t>
  </si>
  <si>
    <t>Estado inicial sin usuario e isLoading=true; setSession llena user/isAuthenticated; setLoading aísla su campo; clear resetea todo</t>
  </si>
  <si>
    <t>6/6 transiciones de estado correctas</t>
  </si>
  <si>
    <t>shared/api/apiClient</t>
  </si>
  <si>
    <t>CP-12</t>
  </si>
  <si>
    <t>Interceptores Axios: inyección del token Bearer y manejo de 401 (cierre de sesión) vs otros errores</t>
  </si>
  <si>
    <t>Test unitario de los interceptores mockeando supabase.auth.getSession/signOut y window.location (6 tests)</t>
  </si>
  <si>
    <t>Sesión activa/nula; respuestas 400, 500, 401 y error de red</t>
  </si>
  <si>
    <t>Agrega Authorization solo con sesión; 401 → signOut + redirección a /login; 400/500/red → rechaza sin cerrar sesión</t>
  </si>
  <si>
    <t>6/6; el cierre de sesión se aísla correctamente solo ante 401</t>
  </si>
  <si>
    <t>Validación de RUT</t>
  </si>
  <si>
    <t>pacientes/utils/rut</t>
  </si>
  <si>
    <t>CP-13</t>
  </si>
  <si>
    <t>Validación y formateo de RUT chileno: dígito verificador (módulo 11), normalización y formato de input</t>
  </si>
  <si>
    <t>Test unitario puro de calcularDigitoVerificador, esRutValido, normalizarRut y formatearRutInput (33 tests)</t>
  </si>
  <si>
    <t>RUT válidos (con/sin puntos, DV K/k, 7–8 dígitos) e inválidos (DV erróneo, letras, &lt;7 dígitos, vacío, number, null)</t>
  </si>
  <si>
    <t>Acepta RUT válidos y su DV; rechaza inválidos; normaliza a formato canónico y formatea el input progresivamente</t>
  </si>
  <si>
    <t>33/33 casos de RUT cubiertos</t>
  </si>
  <si>
    <t>Gestión de pacientes</t>
  </si>
  <si>
    <t>pacientes/services/pacientesApi</t>
  </si>
  <si>
    <t>CP-14</t>
  </si>
  <si>
    <t>Servicio REST de pacientes: GET lista, GET detalle, POST crear, PATCH actualizar, DELETE</t>
  </si>
  <si>
    <t>Test unitario del servicio mockeando apiClient; verifica URL, método y payload (5 tests)</t>
  </si>
  <si>
    <t>id de paciente y payloads de creación/actualización parcial</t>
  </si>
  <si>
    <t>Cada método llama al endpoint correcto y devuelve response.data; DELETE no retorna datos</t>
  </si>
  <si>
    <t>5/5 llamadas REST verificadas</t>
  </si>
  <si>
    <t>pacientes/hooks/usePacientes</t>
  </si>
  <si>
    <t>CP-15</t>
  </si>
  <si>
    <t>Hooks TanStack Query de pacientes: queryKeys, enabled e invalidación de caché en mutaciones</t>
  </si>
  <si>
    <t>Test unitario de los hooks; se inspeccionan queryKey/enabled y los callbacks onSuccess (9 tests)</t>
  </si>
  <si>
    <t>id truthy / string vacío; respuesta de update</t>
  </si>
  <si>
    <t>queryKey y enabled correctos; create/update/delete invalidan pacientesKeys.all, y update también invalida el detalle</t>
  </si>
  <si>
    <t>9/9; caché invalidada correctamente</t>
  </si>
  <si>
    <t>Manejo de errores de API</t>
  </si>
  <si>
    <t>pacientes/utils/apiError</t>
  </si>
  <si>
    <t>CP-16</t>
  </si>
  <si>
    <t>Extracción del mensaje de error de respuestas Axios (string, array de class-validator y fallbacks)</t>
  </si>
  <si>
    <t>Test unitario de obtenerMensajeErrorApi con distintas formas de error (7 tests)</t>
  </si>
  <si>
    <t>message string, array, vacío, solo espacios, sin response, no-AxiosError, número</t>
  </si>
  <si>
    <t>Devuelve el mensaje del backend cuando existe; en otro caso, el mensaje de respaldo (fallback)</t>
  </si>
  <si>
    <t>7/7 ramas de manejo de error cubiertas</t>
  </si>
  <si>
    <t>Evaluaciones clínicas</t>
  </si>
  <si>
    <t>evaluaciones/services/evaluacionesApi</t>
  </si>
  <si>
    <t>CP-17</t>
  </si>
  <si>
    <t>Servicio REST de evaluaciones: listar por paciente, detalle, crear, actualizar y eliminar</t>
  </si>
  <si>
    <t>Test unitario del servicio mockeando apiClient (5 tests)</t>
  </si>
  <si>
    <t>pacienteId, evaluacionId y payload parcial</t>
  </si>
  <si>
    <t>Cada método pega al endpoint correcto y devuelve response.data</t>
  </si>
  <si>
    <t>5/5 endpoints verificados</t>
  </si>
  <si>
    <t>evaluaciones/hooks/useEvaluaciones</t>
  </si>
  <si>
    <t>CP-18</t>
  </si>
  <si>
    <t>Hooks de evaluaciones: queryKey por paciente, enabled e invalidación tras crear/eliminar</t>
  </si>
  <si>
    <t>Test unitario de los hooks (7 tests)</t>
  </si>
  <si>
    <t>pacienteId truthy / undefined / string vacío</t>
  </si>
  <si>
    <t>queryKey y enabled correctos; onSuccess invalida las evaluaciones del paciente</t>
  </si>
  <si>
    <t>7/7 correcto</t>
  </si>
  <si>
    <t>Dashboard clínico</t>
  </si>
  <si>
    <t>calculos/api/dashboardApi</t>
  </si>
  <si>
    <t>CP-19</t>
  </si>
  <si>
    <t>Hook useDashboardClinico: queryKey con datos del paciente, enabled y guardia de seguridad</t>
  </si>
  <si>
    <t>Test unitario del hook mockeando apiClient (5 tests)</t>
  </si>
  <si>
    <t>Paciente con id / paciente null</t>
  </si>
  <si>
    <t>enabled solo con paciente; queryFn pega a la URL y parámetros correctos; lanza error si se invoca sin paciente</t>
  </si>
  <si>
    <t>5/5 correcto</t>
  </si>
  <si>
    <t>Cuadre de macronutrientes</t>
  </si>
  <si>
    <t>macronutrients/api/macronutrientsApi</t>
  </si>
  <si>
    <t>CP-20</t>
  </si>
  <si>
    <t>saveMacronutrients: POST a /dashboard-clinico/macronutrientes y envoltura de la respuesta</t>
  </si>
  <si>
    <t>Test unitario del servicio (2 tests)</t>
  </si>
  <si>
    <t>Payload de macros</t>
  </si>
  <si>
    <t>Llama al endpoint con el payload y siempre envuelve la respuesta en { success: true, data }</t>
  </si>
  <si>
    <t>2/2 correcto</t>
  </si>
  <si>
    <t>macronutrients/hooks/useMacronutrientsSetup</t>
  </si>
  <si>
    <t>CP-21</t>
  </si>
  <si>
    <t>Motor de cuadre: conversión g/kg→%, gramos/kcal por macro, auto-balance, tolerancia ±1, persistencia por paciente y guardado</t>
  </si>
  <si>
    <t>Test unitario del hook con estado clínico y localStorage mockeados (25 tests)</t>
  </si>
  <si>
    <t>2,0 g/kg, 70 kg, 2000 kcal; prot/cho/fat %; cambios que desbordan el 100%</t>
  </si>
  <si>
    <t>prot 2,0 g/kg→28%; 28%→140 g/560 kcal; auto-balance redistribuye (CHO/grasa de cierre, clamp a 0); isBalanced ±1; carga/persiste por paciente; handleSave llama a mutate</t>
  </si>
  <si>
    <t>25/25; motor de cálculo y auto-balance correctos</t>
  </si>
  <si>
    <t>Generación de distribución de pauta</t>
  </si>
  <si>
    <t>diet-plan/hooks/useDietPlanBuilder</t>
  </si>
  <si>
    <t>CP-22</t>
  </si>
  <si>
    <t>Totales y sugerencia de distribución: libre consumo, guardia epsilon 0,1, redondeo a múltiplos de 0,5 y borde maxAllowed=Infinity</t>
  </si>
  <si>
    <t>Test unitario del hook con random fijo (8 tests)</t>
  </si>
  <si>
    <t>Grupos en libreConsumoIds / isFree; presupuesto de macros agotado; random=0</t>
  </si>
  <si>
    <t>Excluye macros de grupos libres; no excede el objetivo más allá del epsilon; porciones múltiplos exactos de 0,5; sin NaN/Infinity; valores deterministas con random=0</t>
  </si>
  <si>
    <t>8/8; distribución matemáticamente coherente</t>
  </si>
  <si>
    <t>Búsqueda y gestión de alimentos</t>
  </si>
  <si>
    <t>alimentos/services/alimentosApi</t>
  </si>
  <si>
    <t>CP-23</t>
  </si>
  <si>
    <t>Servicio REST de alimentos: buscar (con/sin params), categorías, crear, actualizar y eliminar</t>
  </si>
  <si>
    <t>Test unitario del servicio mockeando apiClient (6 tests)</t>
  </si>
  <si>
    <t>params de búsqueda, payload y id</t>
  </si>
  <si>
    <t>Cada método pega al endpoint correcto y devuelve los datos</t>
  </si>
  <si>
    <t>6/6 correcto</t>
  </si>
  <si>
    <t>alimentos/hooks/useBuscarAlimentos</t>
  </si>
  <si>
    <t>CP-24</t>
  </si>
  <si>
    <t>Lógica enabled de búsqueda, queryKey (limit/offset, trim), staleTime y CRUD de alimentos/categorías con invalidación</t>
  </si>
  <si>
    <t>Test unitario de los hooks (14 tests)</t>
  </si>
  <si>
    <t>search vacío/con texto, categoría, permitirSinFiltro, enabled externo</t>
  </si>
  <si>
    <t>enabled según filtros; queryKey normalizada con trim e incluye limit/offset; staleTime 1 min y 30 min; CRUD invalida alimentosKeys.all</t>
  </si>
  <si>
    <t>14/14 correcto</t>
  </si>
  <si>
    <t>Generación de menú</t>
  </si>
  <si>
    <t>menus/services/menusApi</t>
  </si>
  <si>
    <t>CP-25</t>
  </si>
  <si>
    <t>menusApi.generarMenu: POST /menus/generar con payload completo y mínimo</t>
  </si>
  <si>
    <t>Payload con/sin restricciones ni alimentos rechazados</t>
  </si>
  <si>
    <t>Llama al endpoint y devuelve la respuesta; funciona con el payload mínimo</t>
  </si>
  <si>
    <t>menus/hooks/useMenus</t>
  </si>
  <si>
    <t>CP-26</t>
  </si>
  <si>
    <t>Hook useGenerarMenu: usa el servicio como mutationFn, sin invalidar caché (resultado one-shot)</t>
  </si>
  <si>
    <t>Test unitario del hook (3 tests)</t>
  </si>
  <si>
    <t>Payload de generación</t>
  </si>
  <si>
    <t>mutationFn correcta; sin onSuccess; devuelve la respuesta del backend directamente</t>
  </si>
  <si>
    <t>3/3 correcto</t>
  </si>
  <si>
    <t>Derivación de restricciones</t>
  </si>
  <si>
    <t>generador/constants/restricciones</t>
  </si>
  <si>
    <t>CP-27</t>
  </si>
  <si>
    <t>derivarRestriccionesDePaciente: detección de keywords (case-insensitive, sin diacríticos), deduplicación y múltiples coincidencias</t>
  </si>
  <si>
    <t>Test unitario puro de la función (17 tests)</t>
  </si>
  <si>
    <t>Textos con restricciones (mayúsculas, tildes, repetidas, múltiples) y textos vacíos / sin keywords</t>
  </si>
  <si>
    <t>Detecta y normaliza las restricciones, deduplica las repetidas y retorna [] cuando no aplica</t>
  </si>
  <si>
    <t>17/17 correcto</t>
  </si>
  <si>
    <t>Gestión de pautas</t>
  </si>
  <si>
    <t>pautas/services/pautasApi</t>
  </si>
  <si>
    <t>CP-28</t>
  </si>
  <si>
    <t>Servicio REST de pautas: listar, detalle, crear, actualizar y eliminar</t>
  </si>
  <si>
    <t>Test unitario del servicio (5 tests)</t>
  </si>
  <si>
    <t>id y payload</t>
  </si>
  <si>
    <t>pautas/hooks/usePautas</t>
  </si>
  <si>
    <t>CP-29</t>
  </si>
  <si>
    <t>Hooks de pautas: queryKeys, enabled e invalidación cruzada (pautasKeys + pacientesKeys.pautas)</t>
  </si>
  <si>
    <t>id truthy/undefined; data con paciente_id</t>
  </si>
  <si>
    <t>queryKey y enabled correctos; las mutaciones invalidan tanto las pautas como las pautas del paciente</t>
  </si>
  <si>
    <t>Perfil del nutricionista</t>
  </si>
  <si>
    <t>perfil/hooks/usePerfil</t>
  </si>
  <si>
    <t>CP-30</t>
  </si>
  <si>
    <t>Hooks de perfil: lectura vía Supabase, validación de nombre/apellido y manejo de avatar_url en el update</t>
  </si>
  <si>
    <t>Test unitario de los hooks mockeando supabase (8 tests)</t>
  </si>
  <si>
    <t>usuario activo/ausente; nombre/apellido vacíos; payload con/sin avatar</t>
  </si>
  <si>
    <t>queryFn obtiene el perfil o lanza si no hay usuario; el update exige nombre y apellido; incluye/omite avatar_url según el payload; invalida perfilKeys.all</t>
  </si>
  <si>
    <t>8/8 correcto</t>
  </si>
  <si>
    <t>perfil/services/avatarPerfil</t>
  </si>
  <si>
    <t>CP-31</t>
  </si>
  <si>
    <t>validarAvatar (tipo/tamaño) y eliminarAvatar (propiedad de bucket/usuario, best-effort)</t>
  </si>
  <si>
    <t>Test unitario del servicio (15 tests)</t>
  </si>
  <si>
    <t>JPEG/PNG/WebP dentro/fuera del límite, PDF, 2 MB exactos; URLs propias/ajenas/otro bucket/vacías</t>
  </si>
  <si>
    <t>Acepta tipos válidos ≤2 MB y rechaza el resto; solo elimina avatares propios del bucket; no lanza aunque remove falle</t>
  </si>
  <si>
    <t>15/15; validación y seguridad de borrado correctas</t>
  </si>
  <si>
    <t>Planificaciones y objetivos</t>
  </si>
  <si>
    <t>planificaciones/api/planificacionesApi</t>
  </si>
  <si>
    <t>CP-32</t>
  </si>
  <si>
    <t>Servicio REST de planificaciones: listar, crear, eliminar y marcar como activa</t>
  </si>
  <si>
    <t>Test unitario del servicio (4 tests)</t>
  </si>
  <si>
    <t>payload e id</t>
  </si>
  <si>
    <t>4/4 correcto</t>
  </si>
  <si>
    <t>planificaciones/hooks/usePlanificaciones</t>
  </si>
  <si>
    <t>CP-33</t>
  </si>
  <si>
    <t>Hooks de planificaciones: queryKey/queryFn e invalidación al crear/eliminar/activar</t>
  </si>
  <si>
    <t>Test unitario de los hooks (5 tests)</t>
  </si>
  <si>
    <t>Respuestas de mutación</t>
  </si>
  <si>
    <t>queryKey y queryFn correctos; onSuccess invalida las keys correspondientes</t>
  </si>
  <si>
    <t>planificaciones/hooks/useObjetivosActivos</t>
  </si>
  <si>
    <t>CP-34</t>
  </si>
  <si>
    <t>Selección de la planificación activa (prioridad store→DB→fallback) y cálculo de objetivos de macros</t>
  </si>
  <si>
    <t>Test unitario del hook (6 tests)</t>
  </si>
  <si>
    <t>activePatient null/sin planes; activePlanificacionId; flag activa; 2000 kcal con 25/50/25 %</t>
  </si>
  <si>
    <t>Aplica las prioridades de selección; aplica Math.round((kcal·pct)/100/divisor) por macro</t>
  </si>
  <si>
    <t>Armado de porciones (pizarra)</t>
  </si>
  <si>
    <t>porciones/constants</t>
  </si>
  <si>
    <t>CP-35</t>
  </si>
  <si>
    <t>Helpers de comidas: todasLasComidas (+custom sin mutar MEALS), resolverComida y comidasOrdenadas (orden HH:MM, overrides)</t>
  </si>
  <si>
    <t>Test unitario puro (12 tests)</t>
  </si>
  <si>
    <t>customMeals, overrides de mealTimes, ids desconocidos y array vacío</t>
  </si>
  <si>
    <t>Combina comidas sin mutar el original; resuelve y formatea ids; ordena por hora dejando las sin hora al final</t>
  </si>
  <si>
    <t>12/12 correcto</t>
  </si>
  <si>
    <t>porciones/gruposMath</t>
  </si>
  <si>
    <t>CP-36</t>
  </si>
  <si>
    <t>traducirPorcionesParaMath: mapeo de IDs cortos → claves de backend-math, omisión de ≤0 y acumulación</t>
  </si>
  <si>
    <t>Test unitario puro (4 tests)</t>
  </si>
  <si>
    <t>Cantidades positivas/cero/negativas; ids inexistentes; colisiones de mapeo</t>
  </si>
  <si>
    <t>Traduce los IDs, omite cantidades ≤0, ignora ids desconocidos sin lanzar y acumula al colisionar claves</t>
  </si>
  <si>
    <t>porciones/hooks/usePortions</t>
  </si>
  <si>
    <t>CP-37</t>
  </si>
  <si>
    <t>guardarPauta (guards de validación), getGroupTotal/getGroupBalance y filtrado de pautas por planificación activa</t>
  </si>
  <si>
    <t>Test unitario del hook (10 tests)</t>
  </si>
  <si>
    <t>activePatient/planificacionActiva null; distributions {}; todas las porciones 0; plan-1</t>
  </si>
  <si>
    <t>Retorna { ok: false } sin pegar al API ante datos inválidos; total y balance correctos; filtra las pautas por planificacion_id</t>
  </si>
  <si>
    <t>10/10 correcto</t>
  </si>
  <si>
    <t>porciones/store/usePortionsStore</t>
  </si>
  <si>
    <t>CP-38</t>
  </si>
  <si>
    <t>Store de porciones: estado inicial, seguridad matemática (no negativos), limpieza en cascada y restauración con fallbacks</t>
  </si>
  <si>
    <t>Test unitario del store (35 tests)</t>
  </si>
  <si>
    <t>Decrementos excesivos, valores negativos, payloads antiguos sin campos, customMeals/customFoods</t>
  </si>
  <si>
    <t>Nunca produce valores negativos (Math.max(0,·)); al borrar comida/alimento limpia en cascada distribuciones/mealTimes/targets; fallbacks []/{}; incrementa/decrementa en 0,5</t>
  </si>
  <si>
    <t>35/35; integridad del estado garantizada</t>
  </si>
  <si>
    <t>Preparaciones y recetas</t>
  </si>
  <si>
    <t>preparaciones/services/preparacionesApi</t>
  </si>
  <si>
    <t>CP-39</t>
  </si>
  <si>
    <t>Servicio REST de preparaciones: listar, crear, actualizar y eliminar</t>
  </si>
  <si>
    <t>preparaciones/hooks/usePreparaciones</t>
  </si>
  <si>
    <t>CP-40</t>
  </si>
  <si>
    <t>Hooks de preparaciones: queryKey/queryFn, staleTime de 5 min e invalidación en el CRUD</t>
  </si>
  <si>
    <t>Test unitario de los hooks (6 tests)</t>
  </si>
  <si>
    <t>queryKey y queryFn correctos; staleTime 300000 ms; el CRUD invalida preparacionesKeys.all</t>
  </si>
  <si>
    <t>preparaciones/services/imagenesPreparaciones</t>
  </si>
  <si>
    <t>CP-41</t>
  </si>
  <si>
    <t>validarImagenPreparacion (tipo/tamaño) y eliminarImagenPreparacion (propiedad de bucket/usuario)</t>
  </si>
  <si>
    <t>JPEG/PNG/WebP, GIF, PDF, 2 MB; URLs propias/ajenas/otro bucket/vacías</t>
  </si>
  <si>
    <t>Acepta tipos válidos ≤2 MB y rechaza el resto; solo borra imágenes propias del bucket; best-effort ante fallo de remove</t>
  </si>
  <si>
    <t>15/15 correcto</t>
  </si>
  <si>
    <t>Utilidades compartidas</t>
  </si>
  <si>
    <t>shared/api/queryKeys</t>
  </si>
  <si>
    <t>CP-42</t>
  </si>
  <si>
    <t>Fábricas de query keys (dashboard, pacientes, evaluaciones, pautas, menús, perfil, preparaciones, alimentos): jerarquía y composición</t>
  </si>
  <si>
    <t>Test unitario puro de las factories (17 tests)</t>
  </si>
  <si>
    <t>ids y categoría null</t>
  </si>
  <si>
    <t>Cada factory produce la jerarquía correcta (all + detalle/sub-recurso); la búsqueda acepta categoría null</t>
  </si>
  <si>
    <t>shared/hooks/useDebouncedValue</t>
  </si>
  <si>
    <t>CP-43</t>
  </si>
  <si>
    <t>Hook de debounce: valor inicial inmediato, actualización al cumplir el delay, cancelación y limpieza de timers</t>
  </si>
  <si>
    <t>Test unitario con timers falsos, vi.useFakeTimers (7 tests)</t>
  </si>
  <si>
    <t>delay personalizado / 300 ms por defecto; cambios rápidos; objetos; desmontaje</t>
  </si>
  <si>
    <t>Devuelve el valor inicial de inmediato; actualiza justo al cumplir el delay; cancela timers previos; limpia al desmontar</t>
  </si>
  <si>
    <t>shared/store/useClinicalStore</t>
  </si>
  <si>
    <t>CP-44</t>
  </si>
  <si>
    <t>Store clínico: estado inicial (tmb 1766), setActivePatient (pesoActivo desde el paciente con fallback), setters y persistencia</t>
  </si>
  <si>
    <t>Test unitario del store (11 tests)</t>
  </si>
  <si>
    <t>Paciente con/sin peso (0 falsy); null; clave de persistencia</t>
  </si>
  <si>
    <t>Toma pesoActivo del paciente o el fallback; los setters aíslan su campo; persiste con la clave correcta</t>
  </si>
  <si>
    <t>11/11 correcto</t>
  </si>
  <si>
    <t>shared/utils/fechas</t>
  </si>
  <si>
    <t>CP-45</t>
  </si>
  <si>
    <t>formatearFecha (DD-MM-YYYY) y formatearFechaLarga: sin corrimiento de zona horaria, padding de ceros y entradas inválidas</t>
  </si>
  <si>
    <t>Test unitario puro (13 tests)</t>
  </si>
  <si>
    <t>ISO con/sin hora; días/meses de un dígito; cada índice de mes; valores inválidos</t>
  </si>
  <si>
    <t>Formatea sin retroceder un día por UTC; rellena con ceros; usa el nombre de mes correcto; maneja entradas inválidas</t>
  </si>
  <si>
    <t>13/13 correcto</t>
  </si>
  <si>
    <t>login/components/LoginScreen</t>
  </si>
  <si>
    <t>UI / Componente</t>
  </si>
  <si>
    <t>CP-46</t>
  </si>
  <si>
    <t>Campos del formulario, visibilidad de contraseña, estado de carga, error de login y submit</t>
  </si>
  <si>
    <t>Test de componente (React Testing Library): renderiza LoginScreen con mocks de useAuth y verifica inputs, botones y callbacks (11 tests)</t>
  </si>
  <si>
    <t>Credenciales vacías/rellenas; isLoggingIn=true; loginError con mensaje</t>
  </si>
  <si>
    <t>Muestra campos e/p, toggle ojo, deshabilita en carga, muestra error, llama a login() al enviar</t>
  </si>
  <si>
    <t>11/11 pasaron</t>
  </si>
  <si>
    <t>login/components/RegisterScreen</t>
  </si>
  <si>
    <t>CP-47</t>
  </si>
  <si>
    <t>Campos del formulario de registro, validaciones (nombre, longitud contraseña, confirmación) y pantalla de confirmación</t>
  </si>
  <si>
    <t>Test de componente con mocks de useAuth (14 tests)</t>
  </si>
  <si>
    <t>Campos vacíos; contraseña &lt;8 chars; contraseñas distintas; needsEmailConfirmation=true</t>
  </si>
  <si>
    <t>Valida campos, muestra errores, llama a signUp y muestra pantalla de confirmación con el email</t>
  </si>
  <si>
    <t>14/14 pasaron</t>
  </si>
  <si>
    <t>login/components/ForgotPasswordScreen</t>
  </si>
  <si>
    <t>CP-48</t>
  </si>
  <si>
    <t>Formulario de recuperación de contraseña: envío, confirmación, error y estado de carga</t>
  </si>
  <si>
    <t>Test de componente (9 tests)</t>
  </si>
  <si>
    <t>Email válido; requestPasswordReset exitoso/fallido; estado cargando</t>
  </si>
  <si>
    <t>Llama a requestPasswordReset, muestra 'Revisa tu correo' con el email y deshabilita botón en carga</t>
  </si>
  <si>
    <t>9/9 pasaron</t>
  </si>
  <si>
    <t>login/components/ResetPasswordScreen</t>
  </si>
  <si>
    <t>CP-49</t>
  </si>
  <si>
    <t>Pantalla de restablecimiento: spinner en carga, enlace inválido, validación y pantalla de éxito</t>
  </si>
  <si>
    <t>Test de componente (11 tests)</t>
  </si>
  <si>
    <t>isAuthLoading=true; sin sesión; contraseñas no coinciden; updatePassword exitoso/fallido</t>
  </si>
  <si>
    <t>Muestra spinner, mensaje de enlace inválido, valida contraseñas, llama a updatePassword y muestra éxito</t>
  </si>
  <si>
    <t>pacientes/components/ModalNuevoPaciente</t>
  </si>
  <si>
    <t>CP-50</t>
  </si>
  <si>
    <t>Modal de alta de paciente: visibilidad, validación de campos obligatorios, validación de RUT, handleGuardar y reset al cerrar</t>
  </si>
  <si>
    <t>Test de componente con mocks de useCreatePaciente (14 tests)</t>
  </si>
  <si>
    <t>Campos vacíos/rellenos; RUT inválido/vacío; mutateAsync exitoso/fallido</t>
  </si>
  <si>
    <t>Deshabilita guardar sin campos; valida RUT; llama a mutateAsync; llama a onCreated; limpia al reabrir</t>
  </si>
  <si>
    <t>pacientes/components/ChipsInput</t>
  </si>
  <si>
    <t>CP-51</t>
  </si>
  <si>
    <t>Componente de chips (tags): añadir con Enter/blur, deduplicación case-insensitive, eliminar con X y Backspace</t>
  </si>
  <si>
    <t>Test de componente (16 tests)</t>
  </si>
  <si>
    <t>Input vacío, con texto, con espacios, chip duplicado; Backspace con/sin chips</t>
  </si>
  <si>
    <t>Añade chips al confirmar, ignora duplicados y espacios, elimina chips por X y Backspace</t>
  </si>
  <si>
    <t>16/16 pasaron</t>
  </si>
  <si>
    <t>pacientes/components/DatosPersonalesPaciente</t>
  </si>
  <si>
    <t>CP-52</t>
  </si>
  <si>
    <t>Tarjeta de datos personales: modo lectura, toggle de edición, validación RUT en edición y handleGuardar</t>
  </si>
  <si>
    <t>Paciente con datos completos/nulos; RUT inválido; isPending=true</t>
  </si>
  <si>
    <t>Muestra datos en lectura con formatos correctos; valida RUT en edición; llama a updatePaciente.mutate</t>
  </si>
  <si>
    <t>pacientes/components/FichasPacientes</t>
  </si>
  <si>
    <t>CP-53</t>
  </si>
  <si>
    <t>Vista principal de fichas: lista de pacientes, panel de detalle, pestañas, auto-selección y modal de nuevo paciente</t>
  </si>
  <si>
    <t>Test de componente (26 tests)</t>
  </si>
  <si>
    <t>Lista de pacientes con/sin evaluaciones; paciente activo; planificaciones</t>
  </si>
  <si>
    <t>El componente renderiza correctamente todas las secciones y responde a interacciones del usuario</t>
  </si>
  <si>
    <t>26/26 FALLARON — Error de configuración del mock: el vi.mock de useEvaluaciones no exporta useDeleteEvaluacion, por lo que el componente FichasPacientes falla al montarse. Bug en el mock, no en el componente.</t>
  </si>
  <si>
    <t>pacientes/components/PatientInfoCard</t>
  </si>
  <si>
    <t>CP-54</t>
  </si>
  <si>
    <t>Tarjeta prototipo de datos del paciente: campos con valores por defecto y toggle de 'recordar datos'</t>
  </si>
  <si>
    <t>Estado inicial con valores por defecto; toggle activado/desactivado</t>
  </si>
  <si>
    <t>Muestra los campos con datos por defecto y el toggle cambia entre bg-mist y bg-pine</t>
  </si>
  <si>
    <t>evaluaciones/components/HistorialEvaluaciones</t>
  </si>
  <si>
    <t>CP-55</t>
  </si>
  <si>
    <t>Historial de evaluaciones: spinner, estado vacío, modo lectura, edición por tarjeta y eliminar con confirmación</t>
  </si>
  <si>
    <t>Test de componente (13 tests)</t>
  </si>
  <si>
    <t>Evaluaciones vacías/con datos; edición de campos; confirmación de borrado; isPending=true</t>
  </si>
  <si>
    <t>Renderiza correctamente y maneja todos los flujos; el payload de update incluye solo los campos editados</t>
  </si>
  <si>
    <t>12/13 pasaron — FALLO: 'llama a onUpdateEvaluation con el payload correcto'. El componente incluye gasto_energetico_total y tmb en el payload, pero el test solo esperaba {peso_actual, talla_cm, nivel_actividad_fisica, objetivo}. El test debe actualizarse para incluir los campos calculados.</t>
  </si>
  <si>
    <t>calculos/components/PatientInfoCard</t>
  </si>
  <si>
    <t>CP-56</t>
  </si>
  <si>
    <t>Card de selección de paciente activo: select, campos talla/peso desde evaluación, botón de activar y formulario de nuevo paciente</t>
  </si>
  <si>
    <t>Pacientes con/sin evaluación; paciente activo preseleccionado; formulario de creación</t>
  </si>
  <si>
    <t>Rellena talla/peso desde la evaluación del paciente seleccionado; preselecciona el activo; activa el paciente al guardar</t>
  </si>
  <si>
    <t>13/13 pasaron</t>
  </si>
  <si>
    <t>calculos/components/MacrosCard</t>
  </si>
  <si>
    <t>CP-57</t>
  </si>
  <si>
    <t>Card de resumen de macros: estado sin datos (TMB o peso = 0), valores en gramos y kcal, y link a /macronutrientes</t>
  </si>
  <si>
    <t>Test de componente (10 tests)</t>
  </si>
  <si>
    <t>tmbPromedio=0; pesoActivo=0; datos válidos (600+1000+540 kcal)</t>
  </si>
  <si>
    <t>Muestra mensaje de espera sin datos y los macros correctos con datos válidos; total de kcal y link</t>
  </si>
  <si>
    <t>10/10 pasaron</t>
  </si>
  <si>
    <t>calculos/components/ReferenceWeightsCard</t>
  </si>
  <si>
    <t>CP-58</t>
  </si>
  <si>
    <t>Card de pesos de referencia: filas base, ajuste condicional, selección de peso de trabajo, IMC y clasificación con colores</t>
  </si>
  <si>
    <t>Test de componente (17 tests)</t>
  </si>
  <si>
    <t>data undefined/null; aplica_ajuste=false/true; clasificaciones Normal, Obesidad I/II/III</t>
  </si>
  <si>
    <t>Muestra 3 filas base, filas de ajuste solo si aplica; selección de peso actualiza panel; color badge por clasificación</t>
  </si>
  <si>
    <t>17/17 pasaron</t>
  </si>
  <si>
    <t>calculos/components/TmbCalculatorCard</t>
  </si>
  <si>
    <t>CP-59</t>
  </si>
  <si>
    <t>Calculadora TMB: sin datos, botones por fórmula, promedio, desmarcar fórmulas y setTmbPromedio</t>
  </si>
  <si>
    <t>Test de componente (15 tests)</t>
  </si>
  <si>
    <t>data undefined; todas/algunas fórmulas activas; todas deseleccionadas</t>
  </si>
  <si>
    <t>Renderiza un botón por fórmula, calcula promedio de activas, llama setTmbPromedio y muestra aviso si no hay activas</t>
  </si>
  <si>
    <t>15/15 pasaron</t>
  </si>
  <si>
    <t>Distribución de pauta</t>
  </si>
  <si>
    <t>diet-plan/components/NutritionTargetsPanel</t>
  </si>
  <si>
    <t>CP-60</t>
  </si>
  <si>
    <t>Panel de objetivos nutricionales: campos de solo lectura, barras de progreso con getPct, clamp al 100% y botones de acción</t>
  </si>
  <si>
    <t>Test de componente (12 tests)</t>
  </si>
  <si>
    <t>target/current 0, 50%, &gt;100%; onSuggest/onReset undefined</t>
  </si>
  <si>
    <t>Campos readonly; barra clampea al 100%; NaN guard para 0/0; botones llaman a callbacks sin lanzar</t>
  </si>
  <si>
    <t>12/12 pasaron</t>
  </si>
  <si>
    <t>diet-plan/components/DietPlanSummary</t>
  </si>
  <si>
    <t>CP-61</t>
  </si>
  <si>
    <t>Resumen del plan: macros en gramos, ratio kcal/TMB, barra de progreso clampada y botones Generar PDF / Guardar Pauta</t>
  </si>
  <si>
    <t>kcal=50%/150%/0% del objetivo; tmbPromedio</t>
  </si>
  <si>
    <t>Muestra gramos de cada macro, barra clampada a 100%, ratio y ambos botones</t>
  </si>
  <si>
    <t>diet-plan/components/FoodGroupCard</t>
  </si>
  <si>
    <t>CP-62</t>
  </si>
  <si>
    <t>Tarjeta de grupo de alimentos: encabezado, contador de porciones (+ / -), botón eliminar y modo libre consumo (∞)</t>
  </si>
  <si>
    <t>portions=0; portions&gt;0; esLibre=true; onDelete definido/undefined</t>
  </si>
  <si>
    <t>Deshabilita decremento en 0; muestra ∞ y oculta +/- en modo libre; llama a callbacks correctamente</t>
  </si>
  <si>
    <t>diet-plan/components/MealCard</t>
  </si>
  <si>
    <t>CP-63</t>
  </si>
  <si>
    <t>Tarjeta de comida del plan: encabezado con kcal sumadas, filas de alimentos con macros e íconos por tipo</t>
  </si>
  <si>
    <t>2 alimentos con kcal distintas; sin alimentos; iconType cereal/dairy/fruit/meat/vegetable/desconocido</t>
  </si>
  <si>
    <t>Suma kcal correctamente; muestra cantidad, unidad y macros; ícono correcto por tipo; botón 'Agregar Alimento'</t>
  </si>
  <si>
    <t>macronutrients/components/MacronutrientSetupCard</t>
  </si>
  <si>
    <t>CP-64</t>
  </si>
  <si>
    <t>Card de configuración de macros: tabs %, g, g/kg con sliders y rangos distintos; alertas de desbalance</t>
  </si>
  <si>
    <t>Test de componente (14 tests)</t>
  </si>
  <si>
    <t>isBalanced=true/false; desviación ≤5 y &gt;5; tab activo por defecto; tab g/kg</t>
  </si>
  <si>
    <t>Tab % activo por defecto; max del slider cambia por tab; alerta con color según severidad; botón Cuadrar llama a autoBalance</t>
  </si>
  <si>
    <t>macronutrients/components/MacronutrientsHeader</t>
  </si>
  <si>
    <t>CP-65</t>
  </si>
  <si>
    <t>Header de macros: inputs de contexto (TMB y peso), total de kcal, indicador de balance y botón Cuadrar</t>
  </si>
  <si>
    <t>tmbPromedio y pesoActivo distintos; isBalanced=true/false; 600+1000+540 kcal</t>
  </si>
  <si>
    <t>Muestra los valores de contexto; calcula 2140 kcal total; botón desactivado/activo según balance; muestra 'Cuadrado' con check</t>
  </si>
  <si>
    <t>macronutrients/components/NutritionalSummaryCard</t>
  </si>
  <si>
    <t>CP-66</t>
  </si>
  <si>
    <t>Card de resumen nutricional: total kcal, gramos por macro, colores de MACRO_COLORS y actualización reactiva</t>
  </si>
  <si>
    <t>tmbPromedio; macros con valores y con 0; cambio de tmbPromedio</t>
  </si>
  <si>
    <t>Muestra kcal, gramos con color de MACRO_COLORS, actualiza al cambiar tmbPromedio; muestra 0g correctamente</t>
  </si>
  <si>
    <t>macronutrients/components/SavePlanificacionModal</t>
  </si>
  <si>
    <t>CP-67</t>
  </si>
  <si>
    <t>Modal de guardado de planificación: visibilidad, input prellenado con suggestedName, cierre y confirmación con fallback</t>
  </si>
  <si>
    <t>open=false/true; clic X/Cancelar/backdrop; input vacío; isSaving=true; Enter en input</t>
  </si>
  <si>
    <t>No renderiza cuando cerrado; prellenado; cierra por todos los triggers; usa suggestedName como fallback; deshabilita en carga</t>
  </si>
  <si>
    <t>generador/components/GeneradorPreparaciones</t>
  </si>
  <si>
    <t>CP-68</t>
  </si>
  <si>
    <t>Generador de preparaciones: pestañas generador/biblioteca, selector de comida, restricciones dietéticas, filtros de biblioteca y selector de paciente</t>
  </si>
  <si>
    <t>Test de componente (28 tests)</t>
  </si>
  <si>
    <t>Sin porciones/con porciones; restricciones toggle; filtro por nombre/ingrediente/tipo; isPending=true</t>
  </si>
  <si>
    <t>Habilita 'Generar' solo con porciones; toggle de restricciones; resultados filtrados; spinner en carga</t>
  </si>
  <si>
    <t>28/28 pasaron</t>
  </si>
  <si>
    <t>alimentos/components/GestionAlimentos</t>
  </si>
  <si>
    <t>CP-69</t>
  </si>
  <si>
    <t>Vista de gestión de alimentos: lista con kcal, estado de carga, filtros (texto/categoría), modal de creación/edición y eliminar con confirmación</t>
  </si>
  <si>
    <t>Test de componente (19 tests)</t>
  </si>
  <si>
    <t>Lista vacía/con alimentos; isLoading=true; cambio de categoría; onCreated/onUpdated; confirmar/cancelar eliminar</t>
  </si>
  <si>
    <t>Muestra alimentos, spinner en carga, filtros funcionales, toasts de éxito/error y confirmación de borrado</t>
  </si>
  <si>
    <t>19/19 pasaron</t>
  </si>
  <si>
    <t>alimentos/components/ModalNuevoAlimento</t>
  </si>
  <si>
    <t>CP-70</t>
  </si>
  <si>
    <t>Modal de alimento: modo creación/edición, validaciones de campos (nombre, categoría, campos nutricionales), manejo de errores 409 y cierre</t>
  </si>
  <si>
    <t>isOpen=false/true; alimentoExistente; campos vacíos; error 409/string/array; clic Cancelar/X</t>
  </si>
  <si>
    <t>Renderiza título según modo; valida todos los campos; muestra mensajes de error por tipo; llama a mutateAsync con datos válidos</t>
  </si>
  <si>
    <t>porciones/components/PortionCell</t>
  </si>
  <si>
    <t>CP-71</t>
  </si>
  <si>
    <t>Celda de porción: modo vacío (botón +), modo lleno (input + ▲▼), step 0.5 y callbacks onIncrement/onDecrement/onSetPortion</t>
  </si>
  <si>
    <t>value=0; value=1; value=1.5; input vacío</t>
  </si>
  <si>
    <t>Muestra '+' en vacío; input con valor y botones en lleno; llama correctamente a cada callback; step=0.5</t>
  </si>
  <si>
    <t>porciones/components/PortionsTable</t>
  </si>
  <si>
    <t>CP-72</t>
  </si>
  <si>
    <t>Tabla de porciones: encabezados de grupo, filas de comida, fila de totales (getGroupTotal) y fila de balance (exact/under/over) con leyenda</t>
  </si>
  <si>
    <t>targets vacíos; 2 grupos y 2 comidas; getGroupTotal y getGroupBalance</t>
  </si>
  <si>
    <t>Estado vacío, encabezados, totales y balance con íconos/simbolos correctos; leyenda visible</t>
  </si>
  <si>
    <t>porciones/components/PortionsConfigPanel</t>
  </si>
  <si>
    <t>CP-73</t>
  </si>
  <si>
    <t>Panel de personalización de pizarra: toggle de visibilidad, checkboxes de comidas/grupos, agregar comida personalizada y eliminar comida</t>
  </si>
  <si>
    <t>Test de componente (18 tests)</t>
  </si>
  <si>
    <t>activeMeals=[desayuno]; activeGroups=[cereales]; customMeals; nombre vacío/relleno</t>
  </si>
  <si>
    <t>Panel oculto por defecto; checkboxes reflejan estado; Agregar deshabilita con nombre vacío; removeCustomMeal limpia la comida</t>
  </si>
  <si>
    <t>18/18 pasaron</t>
  </si>
  <si>
    <t>porciones/components/GroupOptionCard</t>
  </si>
  <si>
    <t>CP-74</t>
  </si>
  <si>
    <t>Card de opciones de grupo: sin categoría, carga, sin alimentos, lista colapsada (5 ítems), expandir/colapsar y paginación</t>
  </si>
  <si>
    <t>categoria=null; isLoading=true; 0/4/10 alimentos; clic 'Ver más'/'Ocultar'</t>
  </si>
  <si>
    <t>Mensaje específico por estado; muestra 5 primeros y botón 'Ver X más'; expande al clic y colapsa correctamente</t>
  </si>
  <si>
    <t>porciones/components/SavePautaModal</t>
  </si>
  <si>
    <t>CP-75</t>
  </si>
  <si>
    <t>Modal de guardar pauta: visibilidad, título por modo (nueva/editar), input con defaultName, cierre por todos los triggers y isSaving</t>
  </si>
  <si>
    <t>open=false/true; isEditing=true/false; clic X/Cancelar/backdrop; Enter; isSaving=true</t>
  </si>
  <si>
    <t>No renderiza cerrado; título correcto; cierra por todos los triggers; usa defaultName como fallback; deshabilita en carga</t>
  </si>
  <si>
    <t>porciones/components/VistaPauta</t>
  </si>
  <si>
    <t>CP-76</t>
  </si>
  <si>
    <t>Vista de pauta de alimentación: encabezado con nombre de paciente, tabla de comidas/porciones y resumen diario de grupos</t>
  </si>
  <si>
    <t>Paciente con nombre; comidas con/sin distribuciones activas; target fru=3, distribuciones desayuno.fru=2</t>
  </si>
  <si>
    <t>Muestra nombre, HORA/COMIDA/PORCIÓN, porciones asignadas y 'Sin porciones' cuando vacío; resumen con emoji y relación X/Y</t>
  </si>
  <si>
    <t>perfil/components/MiPerfil</t>
  </si>
  <si>
    <t>CP-77</t>
  </si>
  <si>
    <t>Página de perfil: estados de carga/error, formulario con datos precargados, validación nombre/apellido, avatar y feedback de éxito/error</t>
  </si>
  <si>
    <t>isLoading/isError; perfil sin avatar_url/con avatar_url; nombre vacío; isPending=true; onSuccess/onError</t>
  </si>
  <si>
    <t>Spinner en carga; mensaje de error; campos prellenados; iniciales sin avatar; muestra/oculta botón Quitar; toasts tras mutate</t>
  </si>
  <si>
    <t>planificaciones/components/PlanificacionSelector</t>
  </si>
  <si>
    <t>CP-78</t>
  </si>
  <si>
    <t>Selector de planificación: sin paciente, estado de carga, sin planificaciones, lista filtrada por paciente, cambio de activa y spinner en pendiente</t>
  </si>
  <si>
    <t>activePatient=null; isLoading; sin planes; planes con nombre/null; misma opción activa; isPending=true</t>
  </si>
  <si>
    <t>Mensajes contextuales; filtra por paciente; formatea 'nombre · kcal kcal'; no llama mutate si elige la misma; spinner en isPending</t>
  </si>
  <si>
    <t>preparaciones/components/BibliotecaPreparaciones</t>
  </si>
  <si>
    <t>CP-79</t>
  </si>
  <si>
    <t>Biblioteca de preparaciones: estados de carga/error, tarjetas con imagen/iniciales, búsqueda por nombre e ingrediente, modal y eliminar</t>
  </si>
  <si>
    <t>Test de componente (21 tests)</t>
  </si>
  <si>
    <t>isLoading/isError; preparación de sistema vs propia; filtros; confirmar/cancelar eliminar</t>
  </si>
  <si>
    <t>Spinner en carga; badge 'Sistema' y sin botones editar/eliminar; filtra client-side; llama a mutate al confirmar</t>
  </si>
  <si>
    <t>21/21 pasaron</t>
  </si>
  <si>
    <t>preparaciones/components/ModalNuevaPreparacion</t>
  </si>
  <si>
    <t>CP-80</t>
  </si>
  <si>
    <t>Modal de preparación: modo creación/edición, búsqueda de alimentos, agregar ingredientes y habilitar guardar</t>
  </si>
  <si>
    <t>isOpen=false/true; preparacionExistente; useBuscarAlimentos con resultados; ingrediente añadido</t>
  </si>
  <si>
    <t>Título y botón según modo; sin nombre ni ingredientes deshabilita guardar; muestra resultados de búsqueda; habilita al añadir</t>
  </si>
  <si>
    <t>shared/ui/atoms/Button</t>
  </si>
  <si>
    <t>CP-81</t>
  </si>
  <si>
    <t>Componente Button: variantes (primary/secondary/ghost/danger), className extra, atributos HTML y estado disabled</t>
  </si>
  <si>
    <t>Cada variante; className adicional; disabled=true; onClick en activo/desactivo</t>
  </si>
  <si>
    <t>Aplica clase de variante correcta; fusiona className; deshabilita visualmente con opacity-50; no llama onClick en disabled</t>
  </si>
  <si>
    <t>shared/ui/atoms/Card</t>
  </si>
  <si>
    <t>CP-82</t>
  </si>
  <si>
    <t>Componentes Card, CardHeader y CardContent: children, clases base, className extra e ícono opcional</t>
  </si>
  <si>
    <t>Card con/sin className; CardHeader con/sin ícono; CardContent con múltiples hijos</t>
  </si>
  <si>
    <t>Renderiza hijos; aplica clases base; fusiona className; título en h4; ícono con clases de color o ausente</t>
  </si>
  <si>
    <t>shared/ui/atoms/Input</t>
  </si>
  <si>
    <t>CP-83</t>
  </si>
  <si>
    <t>Componente Input: label asociado, placeholder, value, disabled, atributos extra y onChange</t>
  </si>
  <si>
    <t>Test de componente (8 tests)</t>
  </si>
  <si>
    <t>Props label, placeholder, value, disabled=true, type, maxLength; clic en label</t>
  </si>
  <si>
    <t>Asocia label con htmlFor/id; muestra placeholder y value; deshabilita; reenvía atributos; dispara onChange</t>
  </si>
  <si>
    <t>8/8 pasaron</t>
  </si>
  <si>
    <t>shared/ui/organisms/FlowStepper</t>
  </si>
  <si>
    <t>CP-84</t>
  </si>
  <si>
    <t>Stepper de flujo clínico: links a rutas, paso activo (bg-pine), pasos completados (ícono Check) y pasos pendientes (número)</t>
  </si>
  <si>
    <t>current=1/2/3</t>
  </si>
  <si>
    <t>Paso activo tiene bg-pine; pasos anteriores muestran Check; pasos futuros muestran número; links apuntan a rutas correctas</t>
  </si>
  <si>
    <t>shared/ui/organisms/Sidebar</t>
  </si>
  <si>
    <t>CP-85</t>
  </si>
  <si>
    <t>Sidebar: nombre con 3 fallbacks, iniciales (máx 2 letras), avatar/iniciales, navegación por grupos, collapse y modal de logout</t>
  </si>
  <si>
    <t>user_metadata con/sin nombre/apellido/email; avatar_url; clic colapsar; clic logout/Cancelar/Confirmar</t>
  </si>
  <si>
    <t>Calcula nombre e iniciales con fallbacks; muestra avatar o iniciales; colapsa etiquetas; signOut y redirección a /login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</si>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</sst>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charset val="1"/>
    </font>
    <font>
      <sz val="10"/>
      <name val="Arial"/>
      <charset val="1"/>
    </font>
    <font>
      <b/>
      <u/>
      <sz val="24"/>
      <name val="Arial"/>
      <family val="2"/>
      <charset val="1"/>
    </font>
    <font>
      <u/>
      <sz val="24"/>
      <name val="Impact"/>
      <family val="2"/>
      <charset val="1"/>
    </font>
    <font>
      <b/>
      <sz val="12"/>
      <name val="Arial"/>
      <family val="2"/>
      <charset val="1"/>
    </font>
    <font>
      <b/>
      <i/>
      <sz val="22"/>
      <color rgb="FF000080"/>
      <name val="Verdana"/>
      <family val="2"/>
      <charset val="1"/>
    </font>
    <font>
      <b/>
      <sz val="12"/>
      <name val="Antique Olive"/>
      <family val="2"/>
      <charset val="1"/>
    </font>
    <font>
      <sz val="12"/>
      <name val="Impact"/>
      <family val="2"/>
      <charset val="1"/>
    </font>
    <font>
      <sz val="12"/>
      <name val="Antique Olive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8"/>
      <name val="Tahoma"/>
      <charset val="1"/>
    </font>
    <font>
      <b/>
      <sz val="8"/>
      <name val="Tahoma"/>
      <charset val="1"/>
    </font>
    <font>
      <b/>
      <sz val="8"/>
      <color rgb="FF000000"/>
      <name val="Tahoma"/>
      <charset val="1"/>
    </font>
    <font>
      <sz val="8"/>
      <color rgb="FF000000"/>
      <name val="Tahoma"/>
      <charset val="1"/>
    </font>
    <font>
      <sz val="16"/>
      <name val="Tahoma"/>
      <charset val="1"/>
    </font>
    <font>
      <b/>
      <i/>
      <sz val="8"/>
      <color rgb="FF000080"/>
      <name val="Tahoma"/>
      <charset val="1"/>
    </font>
    <font>
      <b/>
      <u/>
      <sz val="8"/>
      <name val="Tahoma"/>
      <charset val="1"/>
    </font>
    <font>
      <b/>
      <u/>
      <sz val="8"/>
      <color rgb="FF000000"/>
      <name val="Tahoma"/>
      <charset val="1"/>
    </font>
    <font>
      <sz val="9"/>
      <name val="Tahoma"/>
      <charset val="1"/>
    </font>
    <font>
      <b/>
      <sz val="9"/>
      <name val="Tahoma"/>
      <charset val="1"/>
    </font>
    <font>
      <b/>
      <sz val="9"/>
      <color rgb="FF000000"/>
      <name val="Tahoma"/>
      <charset val="1"/>
    </font>
    <font>
      <sz val="8"/>
      <name val="Arial"/>
      <charset val="1"/>
    </font>
    <font>
      <sz val="9"/>
      <name val="Calibri"/>
      <charset val="1"/>
    </font>
    <font>
      <sz val="10"/>
      <name val="Tahoma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39988402966399123"/>
        <bgColor rgb="FF9999FF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1" fillId="2" borderId="0" xfId="0" applyFont="1" applyFill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/>
    <xf numFmtId="0" fontId="8" fillId="2" borderId="0" xfId="0" applyFont="1" applyFill="1" applyAlignment="1">
      <alignment horizontal="left"/>
    </xf>
    <xf numFmtId="0" fontId="9" fillId="3" borderId="3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" fillId="2" borderId="5" xfId="0" applyFont="1" applyFill="1" applyBorder="1" applyAlignment="1"/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4" xfId="0" applyFont="1" applyFill="1" applyBorder="1" applyAlignment="1"/>
    <xf numFmtId="0" fontId="1" fillId="2" borderId="8" xfId="0" applyFont="1" applyFill="1" applyBorder="1" applyAlignment="1"/>
    <xf numFmtId="0" fontId="11" fillId="2" borderId="9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11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" fillId="2" borderId="13" xfId="0" applyFont="1" applyFill="1" applyBorder="1" applyAlignment="1"/>
    <xf numFmtId="0" fontId="11" fillId="2" borderId="0" xfId="0" applyFont="1" applyFill="1" applyAlignment="1"/>
    <xf numFmtId="0" fontId="0" fillId="2" borderId="0" xfId="0" applyFill="1" applyAlignment="1"/>
    <xf numFmtId="0" fontId="12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/>
    <xf numFmtId="0" fontId="1" fillId="2" borderId="2" xfId="0" applyFont="1" applyFill="1" applyBorder="1" applyAlignment="1"/>
    <xf numFmtId="0" fontId="23" fillId="2" borderId="2" xfId="0" applyFont="1" applyFill="1" applyBorder="1" applyAlignment="1"/>
    <xf numFmtId="0" fontId="22" fillId="2" borderId="19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left" vertical="top" wrapText="1"/>
    </xf>
    <xf numFmtId="0" fontId="24" fillId="2" borderId="14" xfId="0" applyFont="1" applyFill="1" applyBorder="1" applyAlignment="1" applyProtection="1">
      <alignment horizontal="left" vertical="top" wrapText="1"/>
      <protection locked="0"/>
    </xf>
    <xf numFmtId="0" fontId="25" fillId="2" borderId="0" xfId="0" applyFont="1" applyFill="1" applyAlignment="1">
      <alignment horizontal="left" vertical="center" wrapText="1"/>
    </xf>
    <xf numFmtId="0" fontId="24" fillId="0" borderId="14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center" vertical="center" wrapText="1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6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20" fillId="2" borderId="14" xfId="0" applyFont="1" applyFill="1" applyBorder="1" applyAlignment="1">
      <alignment horizontal="left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14" fontId="20" fillId="2" borderId="14" xfId="0" applyNumberFormat="1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left" vertical="center" wrapText="1"/>
    </xf>
    <xf numFmtId="49" fontId="21" fillId="2" borderId="16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 vertical="top"/>
    </xf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A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749223698899"/>
          <c:y val="5.3966038613631098E-2"/>
        </c:manualLayout>
      </c:layout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0.171283070426034"/>
          <c:y val="0.28599674342870401"/>
          <c:w val="0.314805614209415"/>
          <c:h val="0.5414049779018379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1-6562-4D0A-B1C4-6E2EC15CF4A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562-4D0A-B1C4-6E2EC15CF4A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562-4D0A-B1C4-6E2EC15CF4A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562-4D0A-B1C4-6E2EC15CF4A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62-4D0A-B1C4-6E2EC15CF4A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62-4D0A-B1C4-6E2EC15CF4A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62-4D0A-B1C4-6E2EC15CF4A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62-4D0A-B1C4-6E2EC15CF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83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62-4D0A-B1C4-6E2EC15CF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301"/>
          <c:y val="0.258914114608913"/>
          <c:w val="0.38235294117647101"/>
          <c:h val="0.647386365436715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130320</xdr:colOff>
      <xdr:row>6</xdr:row>
      <xdr:rowOff>34920</xdr:rowOff>
    </xdr:from>
    <xdr:to>
      <xdr:col>14</xdr:col>
      <xdr:colOff>148680</xdr:colOff>
      <xdr:row>25</xdr:row>
      <xdr:rowOff>53280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zoomScale="75" zoomScaleNormal="75" workbookViewId="0">
      <selection activeCell="D79" sqref="D79"/>
    </sheetView>
  </sheetViews>
  <sheetFormatPr defaultColWidth="11.42578125" defaultRowHeight="12.75"/>
  <cols>
    <col min="1" max="1" width="6.42578125" style="1" customWidth="1"/>
    <col min="2" max="2" width="25.28515625" style="1" customWidth="1"/>
    <col min="3" max="3" width="113.5703125" style="1" customWidth="1"/>
    <col min="4" max="4" width="8.5703125" style="1" customWidth="1"/>
    <col min="5" max="5" width="26.85546875" style="1" customWidth="1"/>
    <col min="6" max="6" width="38.42578125" style="1" customWidth="1"/>
    <col min="7" max="7" width="5.140625" style="1" customWidth="1"/>
    <col min="8" max="8" width="4" style="1" customWidth="1"/>
    <col min="9" max="9" width="4.5703125" style="1" customWidth="1"/>
    <col min="10" max="10" width="34.7109375" style="1" customWidth="1"/>
    <col min="11" max="16384" width="11.42578125" style="1"/>
  </cols>
  <sheetData>
    <row r="1" spans="1:15" ht="30" customHeight="1">
      <c r="B1" s="70" t="s">
        <v>0</v>
      </c>
      <c r="C1" s="70"/>
      <c r="D1" s="2"/>
      <c r="E1" s="2"/>
      <c r="F1" s="2"/>
      <c r="G1" s="3"/>
      <c r="H1" s="3"/>
      <c r="I1" s="3"/>
      <c r="J1" s="3"/>
      <c r="K1" s="4"/>
      <c r="L1" s="4"/>
      <c r="M1" s="4"/>
      <c r="N1" s="4"/>
      <c r="O1" s="4"/>
    </row>
    <row r="2" spans="1:15" ht="18" customHeight="1">
      <c r="B2" s="5"/>
      <c r="C2" s="3"/>
      <c r="D2" s="3"/>
      <c r="E2" s="3"/>
      <c r="F2" s="3"/>
      <c r="G2" s="3"/>
      <c r="H2" s="3"/>
      <c r="I2" s="3"/>
      <c r="J2" s="3"/>
    </row>
    <row r="3" spans="1:15" ht="18" customHeight="1">
      <c r="B3" s="71" t="s">
        <v>1</v>
      </c>
      <c r="C3" s="71"/>
      <c r="D3" s="71"/>
      <c r="E3" s="6"/>
      <c r="F3" s="6"/>
      <c r="G3" s="6"/>
      <c r="H3" s="6"/>
      <c r="I3" s="6"/>
      <c r="J3" s="6"/>
    </row>
    <row r="4" spans="1:15" ht="16.5" customHeight="1">
      <c r="B4" s="72" t="s">
        <v>2</v>
      </c>
      <c r="C4" s="72"/>
      <c r="D4" s="72"/>
      <c r="E4" s="7"/>
      <c r="F4" s="6"/>
      <c r="G4" s="6"/>
      <c r="H4" s="6"/>
      <c r="I4" s="6"/>
      <c r="J4" s="6"/>
    </row>
    <row r="5" spans="1:15" ht="30.75" customHeight="1">
      <c r="B5" s="8"/>
      <c r="C5" s="9"/>
      <c r="D5" s="7"/>
      <c r="E5" s="7"/>
      <c r="F5" s="6"/>
      <c r="G5" s="6"/>
      <c r="H5" s="6"/>
      <c r="I5" s="6"/>
      <c r="J5" s="6"/>
    </row>
    <row r="6" spans="1:15" ht="21" customHeight="1">
      <c r="A6" s="10" t="s">
        <v>3</v>
      </c>
      <c r="B6" s="73" t="s">
        <v>4</v>
      </c>
      <c r="C6" s="73"/>
      <c r="D6" s="11" t="s">
        <v>5</v>
      </c>
      <c r="E6" s="12"/>
      <c r="F6" s="13"/>
      <c r="G6" s="14"/>
      <c r="H6" s="14"/>
      <c r="I6" s="14"/>
      <c r="J6" s="14"/>
    </row>
    <row r="7" spans="1:15" ht="15" customHeight="1">
      <c r="A7" s="15" t="s">
        <v>6</v>
      </c>
      <c r="B7" s="74" t="s">
        <v>7</v>
      </c>
      <c r="C7" s="74"/>
      <c r="D7" s="16"/>
      <c r="E7" s="17"/>
    </row>
    <row r="8" spans="1:15" ht="15" customHeight="1">
      <c r="A8" s="18" t="s">
        <v>8</v>
      </c>
      <c r="B8" s="75" t="s">
        <v>9</v>
      </c>
      <c r="C8" s="75"/>
      <c r="D8" s="19"/>
      <c r="E8" s="17"/>
    </row>
    <row r="9" spans="1:15" ht="15" customHeight="1">
      <c r="A9" s="18" t="s">
        <v>10</v>
      </c>
      <c r="B9" s="75" t="s">
        <v>11</v>
      </c>
      <c r="C9" s="75"/>
      <c r="D9" s="19"/>
      <c r="E9" s="17"/>
    </row>
    <row r="10" spans="1:15" ht="15" customHeight="1">
      <c r="A10" s="18"/>
      <c r="B10" s="75"/>
      <c r="C10" s="75"/>
      <c r="D10" s="19"/>
      <c r="E10" s="17"/>
    </row>
    <row r="11" spans="1:15" ht="15" customHeight="1">
      <c r="A11" s="18"/>
      <c r="B11" s="75"/>
      <c r="C11" s="75"/>
      <c r="D11" s="19"/>
      <c r="E11" s="17"/>
    </row>
    <row r="12" spans="1:15" ht="15" customHeight="1">
      <c r="A12" s="18"/>
      <c r="B12" s="75"/>
      <c r="C12" s="75"/>
      <c r="D12" s="19"/>
      <c r="E12" s="17"/>
    </row>
    <row r="13" spans="1:15" ht="15" customHeight="1">
      <c r="A13" s="18"/>
      <c r="B13" s="75"/>
      <c r="C13" s="75"/>
      <c r="D13" s="19"/>
      <c r="E13" s="17"/>
    </row>
    <row r="14" spans="1:15" ht="15" customHeight="1">
      <c r="A14" s="18"/>
      <c r="B14" s="75"/>
      <c r="C14" s="75"/>
      <c r="D14" s="19"/>
      <c r="E14" s="17"/>
    </row>
    <row r="15" spans="1:15" ht="15" customHeight="1">
      <c r="A15" s="18"/>
      <c r="B15" s="75"/>
      <c r="C15" s="75"/>
      <c r="D15" s="19"/>
      <c r="E15" s="17"/>
    </row>
    <row r="16" spans="1:15" ht="15" customHeight="1">
      <c r="A16" s="18"/>
      <c r="B16" s="75"/>
      <c r="C16" s="75"/>
      <c r="D16" s="19"/>
      <c r="E16" s="17"/>
    </row>
    <row r="17" spans="1:5" ht="15" customHeight="1">
      <c r="A17" s="18"/>
      <c r="B17" s="75"/>
      <c r="C17" s="75"/>
      <c r="D17" s="19"/>
      <c r="E17" s="17"/>
    </row>
    <row r="18" spans="1:5" ht="15" customHeight="1">
      <c r="A18" s="18"/>
      <c r="B18" s="75"/>
      <c r="C18" s="75"/>
      <c r="D18" s="19"/>
      <c r="E18" s="17"/>
    </row>
    <row r="19" spans="1:5" ht="15" customHeight="1">
      <c r="A19" s="18"/>
      <c r="B19" s="75"/>
      <c r="C19" s="75"/>
      <c r="D19" s="19"/>
      <c r="E19" s="17"/>
    </row>
    <row r="20" spans="1:5" ht="15" customHeight="1">
      <c r="A20" s="18"/>
      <c r="B20" s="75"/>
      <c r="C20" s="75"/>
      <c r="D20" s="19"/>
      <c r="E20" s="17"/>
    </row>
    <row r="21" spans="1:5" ht="15" customHeight="1">
      <c r="A21" s="18"/>
      <c r="B21" s="75"/>
      <c r="C21" s="75"/>
      <c r="D21" s="19"/>
      <c r="E21" s="17"/>
    </row>
    <row r="22" spans="1:5" ht="15" customHeight="1">
      <c r="A22" s="20"/>
      <c r="B22" s="76"/>
      <c r="C22" s="76"/>
      <c r="D22" s="21"/>
      <c r="E22" s="17"/>
    </row>
    <row r="23" spans="1:5" ht="21.75" customHeight="1">
      <c r="D23" s="17"/>
      <c r="E23" s="17"/>
    </row>
    <row r="24" spans="1:5" ht="21" customHeight="1">
      <c r="A24" s="10" t="s">
        <v>3</v>
      </c>
      <c r="B24" s="73" t="s">
        <v>12</v>
      </c>
      <c r="C24" s="73"/>
      <c r="D24" s="22"/>
      <c r="E24" s="17"/>
    </row>
    <row r="25" spans="1:5" ht="15" customHeight="1">
      <c r="A25" s="15" t="s">
        <v>13</v>
      </c>
      <c r="B25" s="74" t="s">
        <v>14</v>
      </c>
      <c r="C25" s="74"/>
      <c r="D25" s="23"/>
      <c r="E25" s="17"/>
    </row>
    <row r="26" spans="1:5" ht="15" customHeight="1">
      <c r="A26" s="18" t="s">
        <v>15</v>
      </c>
      <c r="B26" s="75" t="s">
        <v>16</v>
      </c>
      <c r="C26" s="75"/>
      <c r="D26" s="19"/>
      <c r="E26" s="17"/>
    </row>
    <row r="27" spans="1:5" ht="15" customHeight="1">
      <c r="A27" s="18" t="s">
        <v>17</v>
      </c>
      <c r="B27" s="75" t="s">
        <v>18</v>
      </c>
      <c r="C27" s="75"/>
      <c r="D27" s="19"/>
      <c r="E27" s="17"/>
    </row>
    <row r="28" spans="1:5" ht="15" customHeight="1">
      <c r="A28" s="18"/>
      <c r="B28" s="75"/>
      <c r="C28" s="75"/>
      <c r="D28" s="19"/>
      <c r="E28" s="17"/>
    </row>
    <row r="29" spans="1:5" ht="15" customHeight="1">
      <c r="A29" s="18"/>
      <c r="B29" s="75"/>
      <c r="C29" s="75"/>
      <c r="D29" s="19"/>
    </row>
    <row r="30" spans="1:5" ht="15" customHeight="1">
      <c r="A30" s="18"/>
      <c r="B30" s="75"/>
      <c r="C30" s="75"/>
      <c r="D30" s="19"/>
    </row>
    <row r="31" spans="1:5" ht="15" customHeight="1">
      <c r="A31" s="18"/>
      <c r="B31" s="75"/>
      <c r="C31" s="75"/>
      <c r="D31" s="19"/>
    </row>
    <row r="32" spans="1:5" ht="15" customHeight="1">
      <c r="A32" s="18"/>
      <c r="B32" s="75"/>
      <c r="C32" s="75"/>
      <c r="D32" s="19"/>
    </row>
    <row r="33" spans="1:4" ht="15" customHeight="1">
      <c r="A33" s="18"/>
      <c r="B33" s="75"/>
      <c r="C33" s="75"/>
      <c r="D33" s="19"/>
    </row>
    <row r="34" spans="1:4" ht="15" customHeight="1">
      <c r="A34" s="18"/>
      <c r="B34" s="75"/>
      <c r="C34" s="75"/>
      <c r="D34" s="19"/>
    </row>
    <row r="35" spans="1:4" ht="15" customHeight="1">
      <c r="A35" s="18"/>
      <c r="B35" s="75"/>
      <c r="C35" s="75"/>
      <c r="D35" s="19"/>
    </row>
    <row r="36" spans="1:4" ht="15" customHeight="1">
      <c r="A36" s="18"/>
      <c r="B36" s="75"/>
      <c r="C36" s="75"/>
      <c r="D36" s="19"/>
    </row>
    <row r="37" spans="1:4" ht="15" customHeight="1">
      <c r="A37" s="18"/>
      <c r="B37" s="75"/>
      <c r="C37" s="75"/>
      <c r="D37" s="19"/>
    </row>
    <row r="38" spans="1:4" ht="15" customHeight="1">
      <c r="A38" s="18"/>
      <c r="B38" s="75"/>
      <c r="C38" s="75"/>
      <c r="D38" s="19"/>
    </row>
    <row r="39" spans="1:4" ht="15" customHeight="1">
      <c r="A39" s="18"/>
      <c r="B39" s="75"/>
      <c r="C39" s="75"/>
      <c r="D39" s="19"/>
    </row>
    <row r="40" spans="1:4" ht="15" customHeight="1">
      <c r="A40" s="18"/>
      <c r="B40" s="75"/>
      <c r="C40" s="75"/>
      <c r="D40" s="19"/>
    </row>
    <row r="41" spans="1:4" ht="15" customHeight="1">
      <c r="A41" s="20"/>
      <c r="B41" s="76"/>
      <c r="C41" s="76"/>
      <c r="D41" s="21"/>
    </row>
    <row r="42" spans="1:4" ht="19.5" customHeight="1"/>
    <row r="43" spans="1:4" ht="18" customHeight="1">
      <c r="A43" s="10" t="s">
        <v>3</v>
      </c>
      <c r="B43" s="73" t="s">
        <v>19</v>
      </c>
      <c r="C43" s="73"/>
      <c r="D43" s="24"/>
    </row>
    <row r="44" spans="1:4" ht="15" customHeight="1">
      <c r="A44" s="15" t="s">
        <v>20</v>
      </c>
      <c r="B44" s="74" t="s">
        <v>21</v>
      </c>
      <c r="C44" s="74"/>
      <c r="D44" s="25"/>
    </row>
    <row r="45" spans="1:4" ht="15" customHeight="1">
      <c r="A45" s="18" t="s">
        <v>22</v>
      </c>
      <c r="B45" s="75" t="s">
        <v>23</v>
      </c>
      <c r="C45" s="75"/>
      <c r="D45" s="18"/>
    </row>
    <row r="46" spans="1:4" ht="15" customHeight="1">
      <c r="A46" s="18" t="s">
        <v>24</v>
      </c>
      <c r="B46" s="75" t="s">
        <v>25</v>
      </c>
      <c r="C46" s="75"/>
      <c r="D46" s="18"/>
    </row>
    <row r="47" spans="1:4" ht="15" customHeight="1">
      <c r="A47" s="18"/>
      <c r="B47" s="75"/>
      <c r="C47" s="75"/>
      <c r="D47" s="18"/>
    </row>
    <row r="48" spans="1:4" ht="15" customHeight="1">
      <c r="A48" s="18"/>
      <c r="B48" s="75"/>
      <c r="C48" s="75"/>
      <c r="D48" s="18"/>
    </row>
    <row r="49" spans="1:4" ht="15" customHeight="1">
      <c r="A49" s="18"/>
      <c r="B49" s="75"/>
      <c r="C49" s="75"/>
      <c r="D49" s="18"/>
    </row>
    <row r="50" spans="1:4" ht="15" customHeight="1">
      <c r="A50" s="18"/>
      <c r="B50" s="75"/>
      <c r="C50" s="75"/>
      <c r="D50" s="18"/>
    </row>
    <row r="51" spans="1:4" ht="15" customHeight="1">
      <c r="A51" s="18"/>
      <c r="B51" s="75"/>
      <c r="C51" s="75"/>
      <c r="D51" s="18"/>
    </row>
    <row r="52" spans="1:4" ht="15" customHeight="1">
      <c r="A52" s="18"/>
      <c r="B52" s="75"/>
      <c r="C52" s="75"/>
      <c r="D52" s="18"/>
    </row>
    <row r="53" spans="1:4" ht="15" customHeight="1">
      <c r="A53" s="18"/>
      <c r="B53" s="75"/>
      <c r="C53" s="75"/>
      <c r="D53" s="18"/>
    </row>
    <row r="54" spans="1:4" ht="15" customHeight="1">
      <c r="A54" s="18"/>
      <c r="B54" s="75"/>
      <c r="C54" s="75"/>
      <c r="D54" s="18"/>
    </row>
    <row r="55" spans="1:4" ht="15" customHeight="1">
      <c r="A55" s="18"/>
      <c r="B55" s="75"/>
      <c r="C55" s="75"/>
      <c r="D55" s="18"/>
    </row>
    <row r="56" spans="1:4" ht="15" customHeight="1">
      <c r="A56" s="18"/>
      <c r="B56" s="75"/>
      <c r="C56" s="75"/>
      <c r="D56" s="18"/>
    </row>
    <row r="57" spans="1:4" ht="15" customHeight="1">
      <c r="A57" s="18"/>
      <c r="B57" s="75"/>
      <c r="C57" s="75"/>
      <c r="D57" s="18"/>
    </row>
    <row r="58" spans="1:4" ht="15" customHeight="1">
      <c r="A58" s="20"/>
      <c r="B58" s="76"/>
      <c r="C58" s="76"/>
      <c r="D58" s="20"/>
    </row>
    <row r="59" spans="1:4" ht="19.5" customHeight="1"/>
    <row r="60" spans="1:4" ht="18" customHeight="1">
      <c r="A60" s="10" t="s">
        <v>3</v>
      </c>
      <c r="B60" s="73" t="s">
        <v>26</v>
      </c>
      <c r="C60" s="73"/>
      <c r="D60" s="24"/>
    </row>
    <row r="61" spans="1:4" ht="15" customHeight="1">
      <c r="A61" s="15" t="s">
        <v>27</v>
      </c>
      <c r="B61" s="74" t="s">
        <v>28</v>
      </c>
      <c r="C61" s="74"/>
      <c r="D61" s="18"/>
    </row>
    <row r="62" spans="1:4" ht="15" customHeight="1">
      <c r="A62" s="18" t="s">
        <v>29</v>
      </c>
      <c r="B62" s="75" t="s">
        <v>30</v>
      </c>
      <c r="C62" s="75"/>
      <c r="D62" s="18"/>
    </row>
    <row r="63" spans="1:4" ht="15" customHeight="1">
      <c r="A63" s="25" t="s">
        <v>31</v>
      </c>
      <c r="B63" s="26" t="s">
        <v>32</v>
      </c>
      <c r="C63" s="27"/>
      <c r="D63" s="18"/>
    </row>
    <row r="64" spans="1:4" ht="15" customHeight="1">
      <c r="A64" s="25"/>
      <c r="B64" s="26"/>
      <c r="C64" s="27"/>
      <c r="D64" s="18"/>
    </row>
    <row r="65" spans="1:4" ht="15" customHeight="1">
      <c r="A65" s="25"/>
      <c r="B65" s="26"/>
      <c r="C65" s="27"/>
      <c r="D65" s="18"/>
    </row>
    <row r="66" spans="1:4" ht="15" customHeight="1">
      <c r="A66" s="25"/>
      <c r="B66" s="26"/>
      <c r="C66" s="27"/>
      <c r="D66" s="18"/>
    </row>
    <row r="67" spans="1:4" ht="15" customHeight="1">
      <c r="A67" s="20"/>
      <c r="B67" s="76"/>
      <c r="C67" s="76"/>
      <c r="D67" s="20"/>
    </row>
    <row r="68" spans="1:4" ht="15" customHeight="1">
      <c r="B68" s="28"/>
    </row>
    <row r="69" spans="1:4" ht="19.5" customHeight="1"/>
    <row r="70" spans="1:4" ht="18" customHeight="1">
      <c r="A70" s="10" t="s">
        <v>3</v>
      </c>
      <c r="B70" s="73" t="s">
        <v>33</v>
      </c>
      <c r="C70" s="73"/>
      <c r="D70" s="24"/>
    </row>
    <row r="71" spans="1:4" ht="15" customHeight="1">
      <c r="A71" s="15" t="s">
        <v>34</v>
      </c>
      <c r="B71" s="74" t="s">
        <v>35</v>
      </c>
      <c r="C71" s="74"/>
      <c r="D71" s="15"/>
    </row>
    <row r="72" spans="1:4" ht="15" customHeight="1">
      <c r="A72" s="18" t="s">
        <v>36</v>
      </c>
      <c r="B72" s="75" t="s">
        <v>37</v>
      </c>
      <c r="C72" s="75"/>
      <c r="D72" s="18"/>
    </row>
    <row r="73" spans="1:4" ht="15" customHeight="1">
      <c r="A73" s="18"/>
      <c r="B73" s="29"/>
      <c r="C73" s="30"/>
      <c r="D73" s="18"/>
    </row>
    <row r="74" spans="1:4" ht="15" customHeight="1">
      <c r="A74" s="18"/>
      <c r="B74" s="29"/>
      <c r="C74" s="30"/>
      <c r="D74" s="18"/>
    </row>
    <row r="75" spans="1:4" ht="15" customHeight="1">
      <c r="A75" s="18"/>
      <c r="B75" s="75"/>
      <c r="C75" s="75"/>
      <c r="D75" s="18"/>
    </row>
    <row r="76" spans="1:4" ht="15" customHeight="1">
      <c r="A76" s="18"/>
      <c r="B76" s="75"/>
      <c r="C76" s="75"/>
      <c r="D76" s="18"/>
    </row>
    <row r="77" spans="1:4" ht="15" customHeight="1">
      <c r="A77" s="20"/>
      <c r="B77" s="76"/>
      <c r="C77" s="76"/>
      <c r="D77" s="20"/>
    </row>
    <row r="78" spans="1:4" ht="19.5" customHeight="1"/>
    <row r="79" spans="1:4" ht="18" customHeight="1">
      <c r="A79" s="10" t="s">
        <v>3</v>
      </c>
      <c r="B79" s="73" t="s">
        <v>38</v>
      </c>
      <c r="C79" s="73"/>
      <c r="D79" s="24"/>
    </row>
    <row r="80" spans="1:4" ht="13.5" customHeight="1">
      <c r="A80" s="15" t="s">
        <v>39</v>
      </c>
      <c r="B80" s="74"/>
      <c r="C80" s="74"/>
      <c r="D80" s="25"/>
    </row>
    <row r="81" spans="1:4" ht="13.5" customHeight="1">
      <c r="A81" s="18" t="s">
        <v>40</v>
      </c>
      <c r="B81" s="75"/>
      <c r="C81" s="75"/>
      <c r="D81" s="25"/>
    </row>
    <row r="82" spans="1:4" ht="13.5" customHeight="1">
      <c r="A82" s="18" t="s">
        <v>41</v>
      </c>
      <c r="B82" s="29"/>
      <c r="C82" s="30"/>
      <c r="D82" s="25"/>
    </row>
    <row r="83" spans="1:4" ht="13.5" customHeight="1">
      <c r="A83" s="18"/>
      <c r="B83" s="29"/>
      <c r="C83" s="30"/>
      <c r="D83" s="25"/>
    </row>
    <row r="84" spans="1:4" ht="13.5" customHeight="1">
      <c r="A84" s="18"/>
      <c r="B84" s="29"/>
      <c r="C84" s="30"/>
      <c r="D84" s="25"/>
    </row>
    <row r="85" spans="1:4" ht="13.5" customHeight="1">
      <c r="B85" s="75"/>
      <c r="C85" s="75"/>
      <c r="D85" s="18"/>
    </row>
    <row r="86" spans="1:4" ht="13.5" customHeight="1">
      <c r="A86" s="18"/>
      <c r="B86" s="75"/>
      <c r="C86" s="75"/>
      <c r="D86" s="31"/>
    </row>
    <row r="87" spans="1:4" ht="14.25" customHeight="1">
      <c r="A87" s="20"/>
      <c r="B87" s="76"/>
      <c r="C87" s="76"/>
      <c r="D87" s="20"/>
    </row>
    <row r="88" spans="1:4" ht="13.5" customHeight="1">
      <c r="B88" s="32"/>
      <c r="C88" s="32"/>
    </row>
    <row r="89" spans="1:4" ht="13.5" customHeight="1">
      <c r="B89" s="32"/>
      <c r="C89" s="32"/>
    </row>
  </sheetData>
  <mergeCells count="70">
    <mergeCell ref="B80:C80"/>
    <mergeCell ref="B81:C81"/>
    <mergeCell ref="B85:C85"/>
    <mergeCell ref="B86:C86"/>
    <mergeCell ref="B87:C87"/>
    <mergeCell ref="B72:C72"/>
    <mergeCell ref="B75:C75"/>
    <mergeCell ref="B76:C76"/>
    <mergeCell ref="B77:C77"/>
    <mergeCell ref="B79:C79"/>
    <mergeCell ref="B61:C61"/>
    <mergeCell ref="B62:C62"/>
    <mergeCell ref="B67:C67"/>
    <mergeCell ref="B70:C70"/>
    <mergeCell ref="B71:C71"/>
    <mergeCell ref="B55:C55"/>
    <mergeCell ref="B56:C56"/>
    <mergeCell ref="B57:C57"/>
    <mergeCell ref="B58:C58"/>
    <mergeCell ref="B60:C60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39:C39"/>
    <mergeCell ref="B40:C40"/>
    <mergeCell ref="B41:C41"/>
    <mergeCell ref="B43:C43"/>
    <mergeCell ref="B44:C44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B1:C1"/>
    <mergeCell ref="B3:D3"/>
    <mergeCell ref="B4:D4"/>
    <mergeCell ref="B6:C6"/>
    <mergeCell ref="B7:C7"/>
  </mergeCells>
  <pageMargins left="0.67013888888888895" right="0.75" top="1" bottom="1" header="0.511811023622047" footer="0.511811023622047"/>
  <pageSetup scale="57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3"/>
  <sheetViews>
    <sheetView tabSelected="1" topLeftCell="A5" zoomScale="85" zoomScaleNormal="85" workbookViewId="0">
      <selection activeCell="A12" sqref="A12"/>
    </sheetView>
  </sheetViews>
  <sheetFormatPr defaultColWidth="17.28515625" defaultRowHeight="12.75"/>
  <cols>
    <col min="1" max="1" width="8.140625" style="33" customWidth="1"/>
    <col min="2" max="2" width="11.42578125" style="33" customWidth="1"/>
    <col min="3" max="3" width="12.7109375" style="33" customWidth="1"/>
    <col min="4" max="4" width="19" style="33" customWidth="1"/>
    <col min="5" max="5" width="9" style="33" customWidth="1"/>
    <col min="6" max="6" width="27" style="33" customWidth="1"/>
    <col min="7" max="8" width="26.28515625" style="33" customWidth="1"/>
    <col min="9" max="9" width="41.7109375" style="33" customWidth="1"/>
    <col min="10" max="10" width="5" style="33" customWidth="1"/>
    <col min="11" max="11" width="4" style="33" customWidth="1"/>
    <col min="12" max="12" width="4.5703125" style="33" customWidth="1"/>
    <col min="13" max="13" width="12.85546875" style="33" hidden="1" customWidth="1"/>
    <col min="14" max="14" width="36.42578125" style="33" customWidth="1"/>
    <col min="15" max="24" width="11.42578125" style="33" customWidth="1"/>
    <col min="25" max="16384" width="17.28515625" style="33"/>
  </cols>
  <sheetData>
    <row r="1" spans="1:24" ht="12.75" customHeight="1">
      <c r="A1" s="34"/>
      <c r="B1" s="34"/>
      <c r="C1" s="35"/>
      <c r="D1" s="34"/>
      <c r="E1" s="34"/>
      <c r="F1" s="34"/>
      <c r="G1" s="34"/>
      <c r="H1" s="36"/>
      <c r="I1" s="36"/>
      <c r="J1" s="36"/>
      <c r="K1" s="1"/>
      <c r="L1" s="37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9.5" customHeight="1">
      <c r="A2" s="34"/>
      <c r="B2" s="62" t="s">
        <v>42</v>
      </c>
      <c r="C2" s="62"/>
      <c r="D2" s="62"/>
      <c r="E2" s="62"/>
      <c r="F2" s="62"/>
      <c r="G2" s="62"/>
      <c r="H2" s="62"/>
      <c r="I2" s="62"/>
      <c r="J2" s="62"/>
      <c r="K2" s="1"/>
      <c r="L2" s="37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4" ht="20.25" customHeight="1">
      <c r="A3" s="34"/>
      <c r="B3" s="62"/>
      <c r="C3" s="62"/>
      <c r="D3" s="62"/>
      <c r="E3" s="62"/>
      <c r="F3" s="62"/>
      <c r="G3" s="62"/>
      <c r="H3" s="62"/>
      <c r="I3" s="62"/>
      <c r="J3" s="62"/>
      <c r="K3" s="1"/>
      <c r="L3" s="37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ht="12.75" customHeight="1">
      <c r="A4" s="34"/>
      <c r="B4" s="34"/>
      <c r="C4" s="63"/>
      <c r="D4" s="63"/>
      <c r="E4" s="38"/>
      <c r="F4" s="38"/>
      <c r="G4" s="38"/>
      <c r="H4" s="39"/>
      <c r="I4" s="39"/>
      <c r="J4" s="39"/>
      <c r="K4" s="40"/>
      <c r="L4" s="40"/>
      <c r="M4" s="38"/>
      <c r="N4" s="38"/>
      <c r="O4" s="1"/>
      <c r="P4" s="1"/>
      <c r="Q4" s="1"/>
      <c r="R4" s="1"/>
      <c r="S4" s="1"/>
      <c r="T4" s="1"/>
      <c r="U4" s="1"/>
      <c r="V4" s="1"/>
    </row>
    <row r="5" spans="1:24" ht="12.75" customHeight="1">
      <c r="A5" s="64" t="s">
        <v>43</v>
      </c>
      <c r="B5" s="64"/>
      <c r="C5" s="64"/>
      <c r="D5" s="65" t="s">
        <v>44</v>
      </c>
      <c r="E5" s="65"/>
      <c r="F5" s="65"/>
      <c r="G5" s="65"/>
      <c r="H5" s="65"/>
      <c r="I5" s="65"/>
      <c r="J5" s="1"/>
      <c r="K5" s="1"/>
      <c r="L5" s="1"/>
      <c r="M5" s="41"/>
      <c r="N5" s="41"/>
      <c r="O5" s="42"/>
      <c r="P5" s="42"/>
      <c r="Q5" s="42"/>
      <c r="R5" s="42"/>
      <c r="S5" s="42"/>
      <c r="T5" s="42"/>
      <c r="U5" s="42"/>
      <c r="V5" s="42"/>
    </row>
    <row r="6" spans="1:24" ht="12.75" customHeight="1">
      <c r="A6" s="64" t="s">
        <v>45</v>
      </c>
      <c r="B6" s="64"/>
      <c r="C6" s="64"/>
      <c r="D6" s="65" t="s">
        <v>46</v>
      </c>
      <c r="E6" s="65"/>
      <c r="F6" s="65"/>
      <c r="G6" s="65"/>
      <c r="H6" s="65"/>
      <c r="I6" s="65"/>
      <c r="J6" s="1"/>
      <c r="K6" s="1"/>
      <c r="L6" s="1"/>
      <c r="M6" s="41"/>
      <c r="N6" s="41"/>
      <c r="O6" s="42"/>
      <c r="P6" s="42"/>
      <c r="Q6" s="42"/>
      <c r="R6" s="42"/>
      <c r="S6" s="42"/>
      <c r="T6" s="42"/>
      <c r="U6" s="42"/>
      <c r="V6" s="42"/>
    </row>
    <row r="7" spans="1:24" ht="12.75" customHeight="1">
      <c r="A7" s="64" t="s">
        <v>47</v>
      </c>
      <c r="B7" s="64"/>
      <c r="C7" s="64"/>
      <c r="D7" s="65" t="s">
        <v>48</v>
      </c>
      <c r="E7" s="65"/>
      <c r="F7" s="65"/>
      <c r="G7" s="65"/>
      <c r="H7" s="65"/>
      <c r="I7" s="65"/>
      <c r="J7" s="1"/>
      <c r="K7" s="1"/>
      <c r="L7" s="1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4" ht="12.75" customHeight="1">
      <c r="A8" s="64" t="s">
        <v>49</v>
      </c>
      <c r="B8" s="64"/>
      <c r="C8" s="64"/>
      <c r="D8" s="65" t="s">
        <v>50</v>
      </c>
      <c r="E8" s="65"/>
      <c r="F8" s="65"/>
      <c r="G8" s="65"/>
      <c r="H8" s="65"/>
      <c r="I8" s="65"/>
      <c r="J8" s="1"/>
      <c r="K8" s="1"/>
      <c r="L8" s="1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4" ht="12.75" customHeight="1">
      <c r="A9" s="64" t="s">
        <v>51</v>
      </c>
      <c r="B9" s="64"/>
      <c r="C9" s="64"/>
      <c r="D9" s="65" t="s">
        <v>52</v>
      </c>
      <c r="E9" s="65"/>
      <c r="F9" s="65"/>
      <c r="G9" s="65"/>
      <c r="H9" s="65"/>
      <c r="I9" s="65"/>
      <c r="J9" s="1"/>
      <c r="K9" s="1"/>
      <c r="L9" s="1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4" ht="12.75" customHeight="1">
      <c r="A10" s="64" t="s">
        <v>53</v>
      </c>
      <c r="B10" s="64"/>
      <c r="C10" s="64"/>
      <c r="D10" s="67" t="s">
        <v>54</v>
      </c>
      <c r="E10" s="67"/>
      <c r="F10" s="67"/>
      <c r="G10" s="67"/>
      <c r="H10" s="67"/>
      <c r="I10" s="67"/>
      <c r="J10" s="1"/>
      <c r="K10" s="1"/>
      <c r="L10" s="1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4" ht="23.25" customHeight="1">
      <c r="A11" s="42" t="s">
        <v>55</v>
      </c>
      <c r="B11" s="42"/>
      <c r="C11" s="68"/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spans="1:24" ht="23.25" customHeight="1">
      <c r="A12" s="43" t="s">
        <v>56</v>
      </c>
      <c r="B12" s="43" t="s">
        <v>57</v>
      </c>
      <c r="C12" s="44" t="s">
        <v>58</v>
      </c>
      <c r="D12" s="43" t="s">
        <v>59</v>
      </c>
      <c r="E12" s="45" t="s">
        <v>60</v>
      </c>
      <c r="F12" s="43" t="s">
        <v>61</v>
      </c>
      <c r="G12" s="43" t="s">
        <v>62</v>
      </c>
      <c r="H12" s="43" t="s">
        <v>63</v>
      </c>
      <c r="I12" s="43" t="s">
        <v>64</v>
      </c>
      <c r="J12" s="66" t="s">
        <v>65</v>
      </c>
      <c r="K12" s="66"/>
      <c r="L12" s="66"/>
      <c r="M12" s="66"/>
      <c r="N12" s="6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spans="1:24" ht="13.5" customHeight="1">
      <c r="A13" s="47"/>
      <c r="B13" s="47"/>
      <c r="C13" s="48"/>
      <c r="D13" s="49"/>
      <c r="E13" s="50"/>
      <c r="F13" s="49"/>
      <c r="G13" s="49"/>
      <c r="H13" s="49"/>
      <c r="I13" s="49"/>
      <c r="J13" s="51" t="s">
        <v>66</v>
      </c>
      <c r="K13" s="51" t="s">
        <v>67</v>
      </c>
      <c r="L13" s="51" t="s">
        <v>68</v>
      </c>
      <c r="M13" s="51" t="s">
        <v>69</v>
      </c>
      <c r="N13" s="52" t="s">
        <v>70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spans="1:24" ht="42" customHeight="1">
      <c r="A14" s="53">
        <v>1</v>
      </c>
      <c r="B14" s="54" t="s">
        <v>71</v>
      </c>
      <c r="C14" s="54" t="s">
        <v>72</v>
      </c>
      <c r="D14" s="54" t="s">
        <v>73</v>
      </c>
      <c r="E14" s="53" t="s">
        <v>74</v>
      </c>
      <c r="F14" s="54" t="s">
        <v>75</v>
      </c>
      <c r="G14" s="55" t="s">
        <v>76</v>
      </c>
      <c r="H14" s="55" t="s">
        <v>77</v>
      </c>
      <c r="I14" s="54" t="s">
        <v>78</v>
      </c>
      <c r="J14" s="53" t="s">
        <v>79</v>
      </c>
      <c r="K14" s="53"/>
      <c r="L14" s="53"/>
      <c r="M14" s="53"/>
      <c r="N14" s="54" t="s">
        <v>80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42" customHeight="1">
      <c r="A15" s="53">
        <v>1</v>
      </c>
      <c r="B15" s="57" t="s">
        <v>71</v>
      </c>
      <c r="C15" s="57" t="s">
        <v>81</v>
      </c>
      <c r="D15" s="57" t="s">
        <v>82</v>
      </c>
      <c r="E15" s="58" t="s">
        <v>83</v>
      </c>
      <c r="F15" s="57" t="s">
        <v>84</v>
      </c>
      <c r="G15" s="55" t="s">
        <v>85</v>
      </c>
      <c r="H15" s="55" t="s">
        <v>86</v>
      </c>
      <c r="I15" s="54" t="s">
        <v>87</v>
      </c>
      <c r="J15" s="59" t="s">
        <v>79</v>
      </c>
      <c r="K15" s="59"/>
      <c r="L15" s="59"/>
      <c r="M15" s="59"/>
      <c r="N15" s="55" t="s">
        <v>88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</row>
    <row r="16" spans="1:24" ht="42" customHeight="1">
      <c r="A16" s="58">
        <v>2</v>
      </c>
      <c r="B16" s="57" t="s">
        <v>89</v>
      </c>
      <c r="C16" s="57" t="s">
        <v>90</v>
      </c>
      <c r="D16" s="57" t="s">
        <v>73</v>
      </c>
      <c r="E16" s="58" t="s">
        <v>91</v>
      </c>
      <c r="F16" s="57" t="s">
        <v>92</v>
      </c>
      <c r="G16" s="55" t="s">
        <v>93</v>
      </c>
      <c r="H16" s="55" t="s">
        <v>94</v>
      </c>
      <c r="I16" s="55" t="s">
        <v>95</v>
      </c>
      <c r="J16" s="59" t="s">
        <v>79</v>
      </c>
      <c r="K16" s="59"/>
      <c r="L16" s="59"/>
      <c r="M16" s="59"/>
      <c r="N16" s="55" t="s">
        <v>96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</row>
    <row r="17" spans="1:24" ht="42" customHeight="1">
      <c r="A17" s="53">
        <v>2</v>
      </c>
      <c r="B17" s="54" t="s">
        <v>89</v>
      </c>
      <c r="C17" s="54" t="s">
        <v>90</v>
      </c>
      <c r="D17" s="54" t="s">
        <v>82</v>
      </c>
      <c r="E17" s="53" t="s">
        <v>97</v>
      </c>
      <c r="F17" s="55" t="s">
        <v>98</v>
      </c>
      <c r="G17" s="55" t="s">
        <v>99</v>
      </c>
      <c r="H17" s="55" t="s">
        <v>100</v>
      </c>
      <c r="I17" s="55" t="s">
        <v>101</v>
      </c>
      <c r="J17" s="53" t="s">
        <v>79</v>
      </c>
      <c r="K17" s="53"/>
      <c r="L17" s="53"/>
      <c r="M17" s="53"/>
      <c r="N17" s="54" t="s">
        <v>102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</row>
    <row r="18" spans="1:24" ht="42" customHeight="1">
      <c r="A18" s="53">
        <v>3</v>
      </c>
      <c r="B18" s="57" t="s">
        <v>103</v>
      </c>
      <c r="C18" s="57" t="s">
        <v>104</v>
      </c>
      <c r="D18" s="57" t="s">
        <v>73</v>
      </c>
      <c r="E18" s="58" t="s">
        <v>105</v>
      </c>
      <c r="F18" s="57" t="s">
        <v>106</v>
      </c>
      <c r="G18" s="55" t="s">
        <v>107</v>
      </c>
      <c r="H18" s="57" t="s">
        <v>108</v>
      </c>
      <c r="I18" s="55" t="s">
        <v>109</v>
      </c>
      <c r="J18" s="53" t="s">
        <v>79</v>
      </c>
      <c r="K18" s="58"/>
      <c r="L18" s="58"/>
      <c r="M18" s="58"/>
      <c r="N18" s="57" t="s">
        <v>110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</row>
    <row r="19" spans="1:24" ht="42" customHeight="1">
      <c r="A19" s="58">
        <v>4</v>
      </c>
      <c r="B19" s="57" t="s">
        <v>111</v>
      </c>
      <c r="C19" s="57" t="s">
        <v>112</v>
      </c>
      <c r="D19" s="57" t="s">
        <v>82</v>
      </c>
      <c r="E19" s="58" t="s">
        <v>113</v>
      </c>
      <c r="F19" s="57" t="s">
        <v>114</v>
      </c>
      <c r="G19" s="55" t="s">
        <v>115</v>
      </c>
      <c r="H19" s="57" t="s">
        <v>116</v>
      </c>
      <c r="I19" s="55" t="s">
        <v>117</v>
      </c>
      <c r="J19" s="58" t="s">
        <v>79</v>
      </c>
      <c r="K19" s="58"/>
      <c r="L19" s="58"/>
      <c r="M19" s="58"/>
      <c r="N19" s="57" t="s">
        <v>118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</row>
    <row r="20" spans="1:24" ht="42" customHeight="1">
      <c r="A20" s="53">
        <v>4</v>
      </c>
      <c r="B20" s="54" t="s">
        <v>111</v>
      </c>
      <c r="C20" s="54" t="s">
        <v>119</v>
      </c>
      <c r="D20" s="54" t="s">
        <v>73</v>
      </c>
      <c r="E20" s="53" t="s">
        <v>120</v>
      </c>
      <c r="F20" s="54" t="s">
        <v>121</v>
      </c>
      <c r="G20" s="54" t="s">
        <v>122</v>
      </c>
      <c r="H20" s="54" t="s">
        <v>123</v>
      </c>
      <c r="I20" s="54" t="s">
        <v>124</v>
      </c>
      <c r="J20" s="53" t="s">
        <v>79</v>
      </c>
      <c r="K20" s="58"/>
      <c r="L20" s="58"/>
      <c r="M20" s="58"/>
      <c r="N20" s="57" t="s">
        <v>125</v>
      </c>
    </row>
    <row r="21" spans="1:24" ht="42" customHeight="1">
      <c r="A21" s="53">
        <v>5</v>
      </c>
      <c r="B21" s="54" t="s">
        <v>126</v>
      </c>
      <c r="C21" s="54" t="s">
        <v>127</v>
      </c>
      <c r="D21" s="54" t="s">
        <v>73</v>
      </c>
      <c r="E21" s="53" t="s">
        <v>128</v>
      </c>
      <c r="F21" s="54" t="s">
        <v>129</v>
      </c>
      <c r="G21" s="54" t="s">
        <v>130</v>
      </c>
      <c r="H21" s="54" t="s">
        <v>131</v>
      </c>
      <c r="I21" s="54" t="s">
        <v>132</v>
      </c>
      <c r="J21" s="53" t="s">
        <v>79</v>
      </c>
      <c r="K21" s="58"/>
      <c r="L21" s="58"/>
      <c r="M21" s="58"/>
      <c r="N21" s="57" t="s">
        <v>133</v>
      </c>
    </row>
    <row r="22" spans="1:24" ht="42" customHeight="1">
      <c r="A22" s="53">
        <v>2</v>
      </c>
      <c r="B22" s="54" t="s">
        <v>134</v>
      </c>
      <c r="C22" s="54" t="s">
        <v>90</v>
      </c>
      <c r="D22" s="54" t="s">
        <v>135</v>
      </c>
      <c r="E22" s="53" t="s">
        <v>136</v>
      </c>
      <c r="F22" s="54" t="s">
        <v>137</v>
      </c>
      <c r="G22" s="54" t="s">
        <v>138</v>
      </c>
      <c r="H22" s="54" t="s">
        <v>139</v>
      </c>
      <c r="I22" s="54" t="s">
        <v>140</v>
      </c>
      <c r="J22" s="53" t="s">
        <v>79</v>
      </c>
      <c r="K22" s="58"/>
      <c r="L22" s="58"/>
      <c r="M22" s="58"/>
      <c r="N22" s="57" t="s">
        <v>141</v>
      </c>
    </row>
    <row r="23" spans="1:24" ht="42" customHeight="1">
      <c r="A23" s="53">
        <v>6</v>
      </c>
      <c r="B23" s="54" t="s">
        <v>142</v>
      </c>
      <c r="C23" s="54" t="s">
        <v>143</v>
      </c>
      <c r="D23" s="54" t="s">
        <v>82</v>
      </c>
      <c r="E23" s="53" t="s">
        <v>144</v>
      </c>
      <c r="F23" s="54" t="s">
        <v>145</v>
      </c>
      <c r="G23" s="55" t="s">
        <v>146</v>
      </c>
      <c r="H23" s="55" t="s">
        <v>147</v>
      </c>
      <c r="I23" s="54" t="s">
        <v>148</v>
      </c>
      <c r="J23" s="53" t="s">
        <v>79</v>
      </c>
      <c r="K23" s="53"/>
      <c r="L23" s="53"/>
      <c r="M23" s="53"/>
      <c r="N23" s="54" t="s">
        <v>149</v>
      </c>
    </row>
    <row r="24" spans="1:24" ht="42" customHeight="1">
      <c r="A24" s="53">
        <v>6</v>
      </c>
      <c r="B24" s="54" t="s">
        <v>142</v>
      </c>
      <c r="C24" s="54" t="s">
        <v>150</v>
      </c>
      <c r="D24" s="54" t="s">
        <v>73</v>
      </c>
      <c r="E24" s="53" t="s">
        <v>151</v>
      </c>
      <c r="F24" s="54" t="s">
        <v>152</v>
      </c>
      <c r="G24" s="55" t="s">
        <v>153</v>
      </c>
      <c r="H24" s="55" t="s">
        <v>154</v>
      </c>
      <c r="I24" s="54" t="s">
        <v>155</v>
      </c>
      <c r="J24" s="53" t="s">
        <v>79</v>
      </c>
      <c r="K24" s="53"/>
      <c r="L24" s="53"/>
      <c r="M24" s="53"/>
      <c r="N24" s="54" t="s">
        <v>156</v>
      </c>
    </row>
    <row r="25" spans="1:24" ht="42" customHeight="1">
      <c r="A25" s="53">
        <v>6</v>
      </c>
      <c r="B25" s="54" t="s">
        <v>142</v>
      </c>
      <c r="C25" s="54" t="s">
        <v>157</v>
      </c>
      <c r="D25" s="54" t="s">
        <v>135</v>
      </c>
      <c r="E25" s="53" t="s">
        <v>158</v>
      </c>
      <c r="F25" s="54" t="s">
        <v>159</v>
      </c>
      <c r="G25" s="55" t="s">
        <v>160</v>
      </c>
      <c r="H25" s="55" t="s">
        <v>161</v>
      </c>
      <c r="I25" s="54" t="s">
        <v>162</v>
      </c>
      <c r="J25" s="53" t="s">
        <v>79</v>
      </c>
      <c r="K25" s="53"/>
      <c r="L25" s="53"/>
      <c r="M25" s="53"/>
      <c r="N25" s="54" t="s">
        <v>163</v>
      </c>
    </row>
    <row r="26" spans="1:24" ht="42" customHeight="1">
      <c r="A26" s="53">
        <v>7</v>
      </c>
      <c r="B26" s="54" t="s">
        <v>164</v>
      </c>
      <c r="C26" s="54" t="s">
        <v>165</v>
      </c>
      <c r="D26" s="54" t="s">
        <v>82</v>
      </c>
      <c r="E26" s="53" t="s">
        <v>166</v>
      </c>
      <c r="F26" s="54" t="s">
        <v>167</v>
      </c>
      <c r="G26" s="55" t="s">
        <v>168</v>
      </c>
      <c r="H26" s="55" t="s">
        <v>169</v>
      </c>
      <c r="I26" s="54" t="s">
        <v>170</v>
      </c>
      <c r="J26" s="53" t="s">
        <v>79</v>
      </c>
      <c r="K26" s="53"/>
      <c r="L26" s="53"/>
      <c r="M26" s="53"/>
      <c r="N26" s="54" t="s">
        <v>171</v>
      </c>
    </row>
    <row r="27" spans="1:24" ht="42" customHeight="1">
      <c r="A27" s="53">
        <v>8</v>
      </c>
      <c r="B27" s="54" t="s">
        <v>172</v>
      </c>
      <c r="C27" s="54" t="s">
        <v>173</v>
      </c>
      <c r="D27" s="54" t="s">
        <v>73</v>
      </c>
      <c r="E27" s="53" t="s">
        <v>174</v>
      </c>
      <c r="F27" s="54" t="s">
        <v>175</v>
      </c>
      <c r="G27" s="55" t="s">
        <v>176</v>
      </c>
      <c r="H27" s="55" t="s">
        <v>177</v>
      </c>
      <c r="I27" s="54" t="s">
        <v>178</v>
      </c>
      <c r="J27" s="53" t="s">
        <v>79</v>
      </c>
      <c r="K27" s="53"/>
      <c r="L27" s="53"/>
      <c r="M27" s="53"/>
      <c r="N27" s="54" t="s">
        <v>179</v>
      </c>
    </row>
    <row r="28" spans="1:24" ht="42" customHeight="1">
      <c r="A28" s="53">
        <v>8</v>
      </c>
      <c r="B28" s="54" t="s">
        <v>172</v>
      </c>
      <c r="C28" s="54" t="s">
        <v>180</v>
      </c>
      <c r="D28" s="54" t="s">
        <v>73</v>
      </c>
      <c r="E28" s="53" t="s">
        <v>181</v>
      </c>
      <c r="F28" s="54" t="s">
        <v>182</v>
      </c>
      <c r="G28" s="55" t="s">
        <v>183</v>
      </c>
      <c r="H28" s="55" t="s">
        <v>184</v>
      </c>
      <c r="I28" s="54" t="s">
        <v>185</v>
      </c>
      <c r="J28" s="53" t="s">
        <v>79</v>
      </c>
      <c r="K28" s="53"/>
      <c r="L28" s="53"/>
      <c r="M28" s="53"/>
      <c r="N28" s="54" t="s">
        <v>186</v>
      </c>
    </row>
    <row r="29" spans="1:24" ht="42" customHeight="1">
      <c r="A29" s="53">
        <v>9</v>
      </c>
      <c r="B29" s="54" t="s">
        <v>187</v>
      </c>
      <c r="C29" s="54" t="s">
        <v>188</v>
      </c>
      <c r="D29" s="54" t="s">
        <v>82</v>
      </c>
      <c r="E29" s="53" t="s">
        <v>189</v>
      </c>
      <c r="F29" s="54" t="s">
        <v>190</v>
      </c>
      <c r="G29" s="55" t="s">
        <v>191</v>
      </c>
      <c r="H29" s="55" t="s">
        <v>192</v>
      </c>
      <c r="I29" s="54" t="s">
        <v>193</v>
      </c>
      <c r="J29" s="53" t="s">
        <v>79</v>
      </c>
      <c r="K29" s="53"/>
      <c r="L29" s="53"/>
      <c r="M29" s="53"/>
      <c r="N29" s="54" t="s">
        <v>194</v>
      </c>
    </row>
    <row r="30" spans="1:24" ht="42" customHeight="1">
      <c r="A30" s="53">
        <v>10</v>
      </c>
      <c r="B30" s="54" t="s">
        <v>195</v>
      </c>
      <c r="C30" s="54" t="s">
        <v>196</v>
      </c>
      <c r="D30" s="54" t="s">
        <v>73</v>
      </c>
      <c r="E30" s="53" t="s">
        <v>197</v>
      </c>
      <c r="F30" s="54" t="s">
        <v>198</v>
      </c>
      <c r="G30" s="55" t="s">
        <v>199</v>
      </c>
      <c r="H30" s="55" t="s">
        <v>200</v>
      </c>
      <c r="I30" s="54" t="s">
        <v>201</v>
      </c>
      <c r="J30" s="53" t="s">
        <v>79</v>
      </c>
      <c r="K30" s="53"/>
      <c r="L30" s="53"/>
      <c r="M30" s="53"/>
      <c r="N30" s="54" t="s">
        <v>202</v>
      </c>
    </row>
    <row r="31" spans="1:24" ht="42" customHeight="1">
      <c r="A31" s="53">
        <v>10</v>
      </c>
      <c r="B31" s="54" t="s">
        <v>195</v>
      </c>
      <c r="C31" s="54" t="s">
        <v>203</v>
      </c>
      <c r="D31" s="54" t="s">
        <v>73</v>
      </c>
      <c r="E31" s="53" t="s">
        <v>204</v>
      </c>
      <c r="F31" s="54" t="s">
        <v>205</v>
      </c>
      <c r="G31" s="55" t="s">
        <v>206</v>
      </c>
      <c r="H31" s="55" t="s">
        <v>207</v>
      </c>
      <c r="I31" s="54" t="s">
        <v>208</v>
      </c>
      <c r="J31" s="53" t="s">
        <v>79</v>
      </c>
      <c r="K31" s="53"/>
      <c r="L31" s="53"/>
      <c r="M31" s="53"/>
      <c r="N31" s="54" t="s">
        <v>209</v>
      </c>
    </row>
    <row r="32" spans="1:24" ht="42" customHeight="1">
      <c r="A32" s="53">
        <v>11</v>
      </c>
      <c r="B32" s="54" t="s">
        <v>210</v>
      </c>
      <c r="C32" s="54" t="s">
        <v>211</v>
      </c>
      <c r="D32" s="54" t="s">
        <v>73</v>
      </c>
      <c r="E32" s="53" t="s">
        <v>212</v>
      </c>
      <c r="F32" s="54" t="s">
        <v>213</v>
      </c>
      <c r="G32" s="55" t="s">
        <v>214</v>
      </c>
      <c r="H32" s="55" t="s">
        <v>215</v>
      </c>
      <c r="I32" s="54" t="s">
        <v>216</v>
      </c>
      <c r="J32" s="53" t="s">
        <v>79</v>
      </c>
      <c r="K32" s="53"/>
      <c r="L32" s="53"/>
      <c r="M32" s="53"/>
      <c r="N32" s="54" t="s">
        <v>217</v>
      </c>
    </row>
    <row r="33" spans="1:14" ht="42" customHeight="1">
      <c r="A33" s="53">
        <v>12</v>
      </c>
      <c r="B33" s="54" t="s">
        <v>218</v>
      </c>
      <c r="C33" s="54" t="s">
        <v>219</v>
      </c>
      <c r="D33" s="54" t="s">
        <v>73</v>
      </c>
      <c r="E33" s="53" t="s">
        <v>220</v>
      </c>
      <c r="F33" s="54" t="s">
        <v>221</v>
      </c>
      <c r="G33" s="55" t="s">
        <v>222</v>
      </c>
      <c r="H33" s="55" t="s">
        <v>223</v>
      </c>
      <c r="I33" s="54" t="s">
        <v>224</v>
      </c>
      <c r="J33" s="53" t="s">
        <v>79</v>
      </c>
      <c r="K33" s="53"/>
      <c r="L33" s="53"/>
      <c r="M33" s="53"/>
      <c r="N33" s="54" t="s">
        <v>225</v>
      </c>
    </row>
    <row r="34" spans="1:14" ht="42" customHeight="1">
      <c r="A34" s="53">
        <v>12</v>
      </c>
      <c r="B34" s="54" t="s">
        <v>218</v>
      </c>
      <c r="C34" s="54" t="s">
        <v>226</v>
      </c>
      <c r="D34" s="54" t="s">
        <v>73</v>
      </c>
      <c r="E34" s="53" t="s">
        <v>227</v>
      </c>
      <c r="F34" s="54" t="s">
        <v>228</v>
      </c>
      <c r="G34" s="55" t="s">
        <v>229</v>
      </c>
      <c r="H34" s="55" t="s">
        <v>230</v>
      </c>
      <c r="I34" s="54" t="s">
        <v>231</v>
      </c>
      <c r="J34" s="53" t="s">
        <v>79</v>
      </c>
      <c r="K34" s="53"/>
      <c r="L34" s="53"/>
      <c r="M34" s="53"/>
      <c r="N34" s="54" t="s">
        <v>232</v>
      </c>
    </row>
    <row r="35" spans="1:14" ht="42" customHeight="1">
      <c r="A35" s="53">
        <v>13</v>
      </c>
      <c r="B35" s="54" t="s">
        <v>233</v>
      </c>
      <c r="C35" s="54" t="s">
        <v>234</v>
      </c>
      <c r="D35" s="54" t="s">
        <v>73</v>
      </c>
      <c r="E35" s="53" t="s">
        <v>235</v>
      </c>
      <c r="F35" s="54" t="s">
        <v>236</v>
      </c>
      <c r="G35" s="55" t="s">
        <v>237</v>
      </c>
      <c r="H35" s="55" t="s">
        <v>238</v>
      </c>
      <c r="I35" s="54" t="s">
        <v>239</v>
      </c>
      <c r="J35" s="53" t="s">
        <v>79</v>
      </c>
      <c r="K35" s="53"/>
      <c r="L35" s="53"/>
      <c r="M35" s="53"/>
      <c r="N35" s="54" t="s">
        <v>240</v>
      </c>
    </row>
    <row r="36" spans="1:14" ht="42" customHeight="1">
      <c r="A36" s="53">
        <v>14</v>
      </c>
      <c r="B36" s="54" t="s">
        <v>241</v>
      </c>
      <c r="C36" s="54" t="s">
        <v>242</v>
      </c>
      <c r="D36" s="54" t="s">
        <v>73</v>
      </c>
      <c r="E36" s="53" t="s">
        <v>243</v>
      </c>
      <c r="F36" s="54" t="s">
        <v>244</v>
      </c>
      <c r="G36" s="55" t="s">
        <v>245</v>
      </c>
      <c r="H36" s="55" t="s">
        <v>246</v>
      </c>
      <c r="I36" s="54" t="s">
        <v>247</v>
      </c>
      <c r="J36" s="53" t="s">
        <v>79</v>
      </c>
      <c r="K36" s="53"/>
      <c r="L36" s="53"/>
      <c r="M36" s="53"/>
      <c r="N36" s="54" t="s">
        <v>248</v>
      </c>
    </row>
    <row r="37" spans="1:14" ht="42" customHeight="1">
      <c r="A37" s="53">
        <v>14</v>
      </c>
      <c r="B37" s="54" t="s">
        <v>241</v>
      </c>
      <c r="C37" s="54" t="s">
        <v>249</v>
      </c>
      <c r="D37" s="54" t="s">
        <v>82</v>
      </c>
      <c r="E37" s="53" t="s">
        <v>250</v>
      </c>
      <c r="F37" s="54" t="s">
        <v>251</v>
      </c>
      <c r="G37" s="55" t="s">
        <v>252</v>
      </c>
      <c r="H37" s="55" t="s">
        <v>253</v>
      </c>
      <c r="I37" s="54" t="s">
        <v>254</v>
      </c>
      <c r="J37" s="53" t="s">
        <v>79</v>
      </c>
      <c r="K37" s="53"/>
      <c r="L37" s="53"/>
      <c r="M37" s="53"/>
      <c r="N37" s="54" t="s">
        <v>255</v>
      </c>
    </row>
    <row r="38" spans="1:14" ht="42" customHeight="1">
      <c r="A38" s="53">
        <v>15</v>
      </c>
      <c r="B38" s="54" t="s">
        <v>256</v>
      </c>
      <c r="C38" s="54" t="s">
        <v>257</v>
      </c>
      <c r="D38" s="54" t="s">
        <v>73</v>
      </c>
      <c r="E38" s="53" t="s">
        <v>258</v>
      </c>
      <c r="F38" s="54" t="s">
        <v>259</v>
      </c>
      <c r="G38" s="55" t="s">
        <v>222</v>
      </c>
      <c r="H38" s="55" t="s">
        <v>260</v>
      </c>
      <c r="I38" s="54" t="s">
        <v>261</v>
      </c>
      <c r="J38" s="53" t="s">
        <v>79</v>
      </c>
      <c r="K38" s="53"/>
      <c r="L38" s="53"/>
      <c r="M38" s="53"/>
      <c r="N38" s="54" t="s">
        <v>225</v>
      </c>
    </row>
    <row r="39" spans="1:14" ht="42" customHeight="1">
      <c r="A39" s="53">
        <v>15</v>
      </c>
      <c r="B39" s="54" t="s">
        <v>256</v>
      </c>
      <c r="C39" s="54" t="s">
        <v>262</v>
      </c>
      <c r="D39" s="54" t="s">
        <v>73</v>
      </c>
      <c r="E39" s="53" t="s">
        <v>263</v>
      </c>
      <c r="F39" s="54" t="s">
        <v>264</v>
      </c>
      <c r="G39" s="55" t="s">
        <v>265</v>
      </c>
      <c r="H39" s="55" t="s">
        <v>266</v>
      </c>
      <c r="I39" s="54" t="s">
        <v>267</v>
      </c>
      <c r="J39" s="53" t="s">
        <v>79</v>
      </c>
      <c r="K39" s="53"/>
      <c r="L39" s="53"/>
      <c r="M39" s="53"/>
      <c r="N39" s="54" t="s">
        <v>268</v>
      </c>
    </row>
    <row r="40" spans="1:14" ht="42" customHeight="1">
      <c r="A40" s="53">
        <v>16</v>
      </c>
      <c r="B40" s="54" t="s">
        <v>269</v>
      </c>
      <c r="C40" s="54" t="s">
        <v>270</v>
      </c>
      <c r="D40" s="54" t="s">
        <v>82</v>
      </c>
      <c r="E40" s="53" t="s">
        <v>271</v>
      </c>
      <c r="F40" s="54" t="s">
        <v>272</v>
      </c>
      <c r="G40" s="55" t="s">
        <v>273</v>
      </c>
      <c r="H40" s="55" t="s">
        <v>274</v>
      </c>
      <c r="I40" s="54" t="s">
        <v>275</v>
      </c>
      <c r="J40" s="53" t="s">
        <v>79</v>
      </c>
      <c r="K40" s="53"/>
      <c r="L40" s="53"/>
      <c r="M40" s="53"/>
      <c r="N40" s="54" t="s">
        <v>276</v>
      </c>
    </row>
    <row r="41" spans="1:14" ht="42" customHeight="1">
      <c r="A41" s="53">
        <v>17</v>
      </c>
      <c r="B41" s="54" t="s">
        <v>277</v>
      </c>
      <c r="C41" s="54" t="s">
        <v>278</v>
      </c>
      <c r="D41" s="54" t="s">
        <v>73</v>
      </c>
      <c r="E41" s="53" t="s">
        <v>279</v>
      </c>
      <c r="F41" s="54" t="s">
        <v>280</v>
      </c>
      <c r="G41" s="55" t="s">
        <v>281</v>
      </c>
      <c r="H41" s="55" t="s">
        <v>282</v>
      </c>
      <c r="I41" s="54" t="s">
        <v>247</v>
      </c>
      <c r="J41" s="53" t="s">
        <v>79</v>
      </c>
      <c r="K41" s="53"/>
      <c r="L41" s="53"/>
      <c r="M41" s="53"/>
      <c r="N41" s="54" t="s">
        <v>217</v>
      </c>
    </row>
    <row r="42" spans="1:14" ht="42" customHeight="1">
      <c r="A42" s="53">
        <v>17</v>
      </c>
      <c r="B42" s="54" t="s">
        <v>277</v>
      </c>
      <c r="C42" s="54" t="s">
        <v>283</v>
      </c>
      <c r="D42" s="54" t="s">
        <v>73</v>
      </c>
      <c r="E42" s="53" t="s">
        <v>284</v>
      </c>
      <c r="F42" s="54" t="s">
        <v>285</v>
      </c>
      <c r="G42" s="55" t="s">
        <v>252</v>
      </c>
      <c r="H42" s="55" t="s">
        <v>286</v>
      </c>
      <c r="I42" s="54" t="s">
        <v>287</v>
      </c>
      <c r="J42" s="53" t="s">
        <v>79</v>
      </c>
      <c r="K42" s="53"/>
      <c r="L42" s="53"/>
      <c r="M42" s="53"/>
      <c r="N42" s="54" t="s">
        <v>255</v>
      </c>
    </row>
    <row r="43" spans="1:14" ht="42" customHeight="1">
      <c r="A43" s="53">
        <v>18</v>
      </c>
      <c r="B43" s="54" t="s">
        <v>288</v>
      </c>
      <c r="C43" s="54" t="s">
        <v>289</v>
      </c>
      <c r="D43" s="54" t="s">
        <v>82</v>
      </c>
      <c r="E43" s="53" t="s">
        <v>290</v>
      </c>
      <c r="F43" s="54" t="s">
        <v>291</v>
      </c>
      <c r="G43" s="55" t="s">
        <v>292</v>
      </c>
      <c r="H43" s="55" t="s">
        <v>293</v>
      </c>
      <c r="I43" s="54" t="s">
        <v>294</v>
      </c>
      <c r="J43" s="53" t="s">
        <v>79</v>
      </c>
      <c r="K43" s="53"/>
      <c r="L43" s="53"/>
      <c r="M43" s="53"/>
      <c r="N43" s="54" t="s">
        <v>295</v>
      </c>
    </row>
    <row r="44" spans="1:14" ht="42" customHeight="1">
      <c r="A44" s="53">
        <v>18</v>
      </c>
      <c r="B44" s="54" t="s">
        <v>288</v>
      </c>
      <c r="C44" s="54" t="s">
        <v>296</v>
      </c>
      <c r="D44" s="54" t="s">
        <v>135</v>
      </c>
      <c r="E44" s="53" t="s">
        <v>297</v>
      </c>
      <c r="F44" s="54" t="s">
        <v>298</v>
      </c>
      <c r="G44" s="55" t="s">
        <v>299</v>
      </c>
      <c r="H44" s="55" t="s">
        <v>300</v>
      </c>
      <c r="I44" s="54" t="s">
        <v>301</v>
      </c>
      <c r="J44" s="53" t="s">
        <v>79</v>
      </c>
      <c r="K44" s="53"/>
      <c r="L44" s="53"/>
      <c r="M44" s="53"/>
      <c r="N44" s="54" t="s">
        <v>302</v>
      </c>
    </row>
    <row r="45" spans="1:14" ht="42" customHeight="1">
      <c r="A45" s="53">
        <v>19</v>
      </c>
      <c r="B45" s="54" t="s">
        <v>303</v>
      </c>
      <c r="C45" s="54" t="s">
        <v>304</v>
      </c>
      <c r="D45" s="54" t="s">
        <v>73</v>
      </c>
      <c r="E45" s="53" t="s">
        <v>305</v>
      </c>
      <c r="F45" s="54" t="s">
        <v>306</v>
      </c>
      <c r="G45" s="55" t="s">
        <v>307</v>
      </c>
      <c r="H45" s="55" t="s">
        <v>308</v>
      </c>
      <c r="I45" s="54" t="s">
        <v>247</v>
      </c>
      <c r="J45" s="53" t="s">
        <v>79</v>
      </c>
      <c r="K45" s="53"/>
      <c r="L45" s="53"/>
      <c r="M45" s="53"/>
      <c r="N45" s="54" t="s">
        <v>309</v>
      </c>
    </row>
    <row r="46" spans="1:14" ht="42" customHeight="1">
      <c r="A46" s="53">
        <v>19</v>
      </c>
      <c r="B46" s="54" t="s">
        <v>303</v>
      </c>
      <c r="C46" s="54" t="s">
        <v>310</v>
      </c>
      <c r="D46" s="54" t="s">
        <v>73</v>
      </c>
      <c r="E46" s="53" t="s">
        <v>311</v>
      </c>
      <c r="F46" s="54" t="s">
        <v>312</v>
      </c>
      <c r="G46" s="55" t="s">
        <v>313</v>
      </c>
      <c r="H46" s="55" t="s">
        <v>314</v>
      </c>
      <c r="I46" s="54" t="s">
        <v>315</v>
      </c>
      <c r="J46" s="53" t="s">
        <v>79</v>
      </c>
      <c r="K46" s="53"/>
      <c r="L46" s="53"/>
      <c r="M46" s="53"/>
      <c r="N46" s="54" t="s">
        <v>217</v>
      </c>
    </row>
    <row r="47" spans="1:14" ht="42" customHeight="1">
      <c r="A47" s="53">
        <v>19</v>
      </c>
      <c r="B47" s="54" t="s">
        <v>303</v>
      </c>
      <c r="C47" s="54" t="s">
        <v>316</v>
      </c>
      <c r="D47" s="54" t="s">
        <v>73</v>
      </c>
      <c r="E47" s="53" t="s">
        <v>317</v>
      </c>
      <c r="F47" s="54" t="s">
        <v>318</v>
      </c>
      <c r="G47" s="55" t="s">
        <v>319</v>
      </c>
      <c r="H47" s="55" t="s">
        <v>320</v>
      </c>
      <c r="I47" s="54" t="s">
        <v>321</v>
      </c>
      <c r="J47" s="53" t="s">
        <v>79</v>
      </c>
      <c r="K47" s="53"/>
      <c r="L47" s="53"/>
      <c r="M47" s="53"/>
      <c r="N47" s="54" t="s">
        <v>248</v>
      </c>
    </row>
    <row r="48" spans="1:14" ht="42" customHeight="1">
      <c r="A48" s="53">
        <v>20</v>
      </c>
      <c r="B48" s="54" t="s">
        <v>322</v>
      </c>
      <c r="C48" s="54" t="s">
        <v>323</v>
      </c>
      <c r="D48" s="54" t="s">
        <v>73</v>
      </c>
      <c r="E48" s="53" t="s">
        <v>324</v>
      </c>
      <c r="F48" s="54" t="s">
        <v>325</v>
      </c>
      <c r="G48" s="55" t="s">
        <v>326</v>
      </c>
      <c r="H48" s="55" t="s">
        <v>327</v>
      </c>
      <c r="I48" s="54" t="s">
        <v>328</v>
      </c>
      <c r="J48" s="53" t="s">
        <v>79</v>
      </c>
      <c r="K48" s="53"/>
      <c r="L48" s="53"/>
      <c r="M48" s="53"/>
      <c r="N48" s="54" t="s">
        <v>329</v>
      </c>
    </row>
    <row r="49" spans="1:14" ht="42" customHeight="1">
      <c r="A49" s="53">
        <v>20</v>
      </c>
      <c r="B49" s="54" t="s">
        <v>322</v>
      </c>
      <c r="C49" s="54" t="s">
        <v>330</v>
      </c>
      <c r="D49" s="54" t="s">
        <v>73</v>
      </c>
      <c r="E49" s="53" t="s">
        <v>331</v>
      </c>
      <c r="F49" s="54" t="s">
        <v>332</v>
      </c>
      <c r="G49" s="55" t="s">
        <v>333</v>
      </c>
      <c r="H49" s="55" t="s">
        <v>334</v>
      </c>
      <c r="I49" s="54" t="s">
        <v>335</v>
      </c>
      <c r="J49" s="53" t="s">
        <v>79</v>
      </c>
      <c r="K49" s="53"/>
      <c r="L49" s="53"/>
      <c r="M49" s="53"/>
      <c r="N49" s="54" t="s">
        <v>309</v>
      </c>
    </row>
    <row r="50" spans="1:14" ht="42" customHeight="1">
      <c r="A50" s="53">
        <v>20</v>
      </c>
      <c r="B50" s="54" t="s">
        <v>322</v>
      </c>
      <c r="C50" s="54" t="s">
        <v>336</v>
      </c>
      <c r="D50" s="54" t="s">
        <v>82</v>
      </c>
      <c r="E50" s="53" t="s">
        <v>337</v>
      </c>
      <c r="F50" s="54" t="s">
        <v>338</v>
      </c>
      <c r="G50" s="55" t="s">
        <v>339</v>
      </c>
      <c r="H50" s="55" t="s">
        <v>340</v>
      </c>
      <c r="I50" s="54" t="s">
        <v>341</v>
      </c>
      <c r="J50" s="53" t="s">
        <v>79</v>
      </c>
      <c r="K50" s="53"/>
      <c r="L50" s="53"/>
      <c r="M50" s="53"/>
      <c r="N50" s="54" t="s">
        <v>342</v>
      </c>
    </row>
    <row r="51" spans="1:14" ht="42" customHeight="1">
      <c r="A51" s="53">
        <v>20</v>
      </c>
      <c r="B51" s="54" t="s">
        <v>322</v>
      </c>
      <c r="C51" s="54" t="s">
        <v>343</v>
      </c>
      <c r="D51" s="54" t="s">
        <v>73</v>
      </c>
      <c r="E51" s="53" t="s">
        <v>344</v>
      </c>
      <c r="F51" s="54" t="s">
        <v>345</v>
      </c>
      <c r="G51" s="55" t="s">
        <v>346</v>
      </c>
      <c r="H51" s="55" t="s">
        <v>347</v>
      </c>
      <c r="I51" s="54" t="s">
        <v>348</v>
      </c>
      <c r="J51" s="53" t="s">
        <v>79</v>
      </c>
      <c r="K51" s="53"/>
      <c r="L51" s="53"/>
      <c r="M51" s="53"/>
      <c r="N51" s="54" t="s">
        <v>349</v>
      </c>
    </row>
    <row r="52" spans="1:14" ht="42" customHeight="1">
      <c r="A52" s="53">
        <v>21</v>
      </c>
      <c r="B52" s="54" t="s">
        <v>350</v>
      </c>
      <c r="C52" s="54" t="s">
        <v>351</v>
      </c>
      <c r="D52" s="54" t="s">
        <v>73</v>
      </c>
      <c r="E52" s="53" t="s">
        <v>352</v>
      </c>
      <c r="F52" s="54" t="s">
        <v>353</v>
      </c>
      <c r="G52" s="55" t="s">
        <v>307</v>
      </c>
      <c r="H52" s="55" t="s">
        <v>308</v>
      </c>
      <c r="I52" s="54" t="s">
        <v>247</v>
      </c>
      <c r="J52" s="53" t="s">
        <v>79</v>
      </c>
      <c r="K52" s="53"/>
      <c r="L52" s="53"/>
      <c r="M52" s="53"/>
      <c r="N52" s="54" t="s">
        <v>309</v>
      </c>
    </row>
    <row r="53" spans="1:14" ht="42" customHeight="1">
      <c r="A53" s="53">
        <v>21</v>
      </c>
      <c r="B53" s="54" t="s">
        <v>350</v>
      </c>
      <c r="C53" s="54" t="s">
        <v>354</v>
      </c>
      <c r="D53" s="54" t="s">
        <v>73</v>
      </c>
      <c r="E53" s="53" t="s">
        <v>355</v>
      </c>
      <c r="F53" s="54" t="s">
        <v>356</v>
      </c>
      <c r="G53" s="55" t="s">
        <v>357</v>
      </c>
      <c r="H53" s="55" t="s">
        <v>314</v>
      </c>
      <c r="I53" s="54" t="s">
        <v>358</v>
      </c>
      <c r="J53" s="53" t="s">
        <v>79</v>
      </c>
      <c r="K53" s="53"/>
      <c r="L53" s="53"/>
      <c r="M53" s="53"/>
      <c r="N53" s="54" t="s">
        <v>248</v>
      </c>
    </row>
    <row r="54" spans="1:14" ht="42" customHeight="1">
      <c r="A54" s="53">
        <v>21</v>
      </c>
      <c r="B54" s="54" t="s">
        <v>350</v>
      </c>
      <c r="C54" s="54" t="s">
        <v>359</v>
      </c>
      <c r="D54" s="54" t="s">
        <v>135</v>
      </c>
      <c r="E54" s="53" t="s">
        <v>360</v>
      </c>
      <c r="F54" s="54" t="s">
        <v>361</v>
      </c>
      <c r="G54" s="55" t="s">
        <v>299</v>
      </c>
      <c r="H54" s="55" t="s">
        <v>362</v>
      </c>
      <c r="I54" s="54" t="s">
        <v>363</v>
      </c>
      <c r="J54" s="53" t="s">
        <v>79</v>
      </c>
      <c r="K54" s="53"/>
      <c r="L54" s="53"/>
      <c r="M54" s="53"/>
      <c r="N54" s="54" t="s">
        <v>364</v>
      </c>
    </row>
    <row r="55" spans="1:14" ht="42" customHeight="1">
      <c r="A55" s="53">
        <v>22</v>
      </c>
      <c r="B55" s="54" t="s">
        <v>365</v>
      </c>
      <c r="C55" s="54" t="s">
        <v>366</v>
      </c>
      <c r="D55" s="54" t="s">
        <v>73</v>
      </c>
      <c r="E55" s="53" t="s">
        <v>367</v>
      </c>
      <c r="F55" s="54" t="s">
        <v>368</v>
      </c>
      <c r="G55" s="55" t="s">
        <v>369</v>
      </c>
      <c r="H55" s="55" t="s">
        <v>370</v>
      </c>
      <c r="I55" s="54" t="s">
        <v>371</v>
      </c>
      <c r="J55" s="53" t="s">
        <v>79</v>
      </c>
      <c r="K55" s="53"/>
      <c r="L55" s="53"/>
      <c r="M55" s="53"/>
      <c r="N55" s="54" t="s">
        <v>276</v>
      </c>
    </row>
    <row r="56" spans="1:14" ht="42" customHeight="1">
      <c r="A56" s="53">
        <v>22</v>
      </c>
      <c r="B56" s="54" t="s">
        <v>365</v>
      </c>
      <c r="C56" s="54" t="s">
        <v>372</v>
      </c>
      <c r="D56" s="54" t="s">
        <v>73</v>
      </c>
      <c r="E56" s="53" t="s">
        <v>373</v>
      </c>
      <c r="F56" s="54" t="s">
        <v>374</v>
      </c>
      <c r="G56" s="55" t="s">
        <v>375</v>
      </c>
      <c r="H56" s="55" t="s">
        <v>376</v>
      </c>
      <c r="I56" s="54" t="s">
        <v>377</v>
      </c>
      <c r="J56" s="53" t="s">
        <v>79</v>
      </c>
      <c r="K56" s="53"/>
      <c r="L56" s="53"/>
      <c r="M56" s="53"/>
      <c r="N56" s="54" t="s">
        <v>209</v>
      </c>
    </row>
    <row r="57" spans="1:14" ht="42" customHeight="1">
      <c r="A57" s="53">
        <v>22</v>
      </c>
      <c r="B57" s="54" t="s">
        <v>365</v>
      </c>
      <c r="C57" s="54" t="s">
        <v>378</v>
      </c>
      <c r="D57" s="54" t="s">
        <v>73</v>
      </c>
      <c r="E57" s="53" t="s">
        <v>379</v>
      </c>
      <c r="F57" s="54" t="s">
        <v>380</v>
      </c>
      <c r="G57" s="55" t="s">
        <v>381</v>
      </c>
      <c r="H57" s="55" t="s">
        <v>382</v>
      </c>
      <c r="I57" s="54" t="s">
        <v>383</v>
      </c>
      <c r="J57" s="53" t="s">
        <v>79</v>
      </c>
      <c r="K57" s="53"/>
      <c r="L57" s="53"/>
      <c r="M57" s="53"/>
      <c r="N57" s="54" t="s">
        <v>384</v>
      </c>
    </row>
    <row r="58" spans="1:14" ht="42" customHeight="1">
      <c r="A58" s="53">
        <v>22</v>
      </c>
      <c r="B58" s="54" t="s">
        <v>365</v>
      </c>
      <c r="C58" s="54" t="s">
        <v>385</v>
      </c>
      <c r="D58" s="54" t="s">
        <v>82</v>
      </c>
      <c r="E58" s="53" t="s">
        <v>386</v>
      </c>
      <c r="F58" s="54" t="s">
        <v>387</v>
      </c>
      <c r="G58" s="55" t="s">
        <v>388</v>
      </c>
      <c r="H58" s="55" t="s">
        <v>389</v>
      </c>
      <c r="I58" s="54" t="s">
        <v>390</v>
      </c>
      <c r="J58" s="53" t="s">
        <v>79</v>
      </c>
      <c r="K58" s="53"/>
      <c r="L58" s="53"/>
      <c r="M58" s="53"/>
      <c r="N58" s="54" t="s">
        <v>391</v>
      </c>
    </row>
    <row r="59" spans="1:14" ht="42" customHeight="1">
      <c r="A59" s="53">
        <v>6</v>
      </c>
      <c r="B59" s="54" t="s">
        <v>142</v>
      </c>
      <c r="C59" s="54" t="s">
        <v>392</v>
      </c>
      <c r="D59" s="54" t="s">
        <v>393</v>
      </c>
      <c r="E59" s="53" t="s">
        <v>394</v>
      </c>
      <c r="F59" s="54" t="s">
        <v>395</v>
      </c>
      <c r="G59" s="55" t="s">
        <v>396</v>
      </c>
      <c r="H59" s="55" t="s">
        <v>397</v>
      </c>
      <c r="I59" s="54" t="s">
        <v>398</v>
      </c>
      <c r="J59" s="53" t="s">
        <v>79</v>
      </c>
      <c r="K59" s="53"/>
      <c r="L59" s="53"/>
      <c r="M59" s="53"/>
      <c r="N59" s="54" t="s">
        <v>399</v>
      </c>
    </row>
    <row r="60" spans="1:14" ht="42" customHeight="1">
      <c r="A60" s="53">
        <v>6</v>
      </c>
      <c r="B60" s="54" t="s">
        <v>142</v>
      </c>
      <c r="C60" s="54" t="s">
        <v>400</v>
      </c>
      <c r="D60" s="54" t="s">
        <v>393</v>
      </c>
      <c r="E60" s="53" t="s">
        <v>401</v>
      </c>
      <c r="F60" s="54" t="s">
        <v>402</v>
      </c>
      <c r="G60" s="55" t="s">
        <v>403</v>
      </c>
      <c r="H60" s="55" t="s">
        <v>404</v>
      </c>
      <c r="I60" s="54" t="s">
        <v>405</v>
      </c>
      <c r="J60" s="53" t="s">
        <v>79</v>
      </c>
      <c r="K60" s="53"/>
      <c r="L60" s="53"/>
      <c r="M60" s="53"/>
      <c r="N60" s="54" t="s">
        <v>406</v>
      </c>
    </row>
    <row r="61" spans="1:14" ht="42" customHeight="1">
      <c r="A61" s="53">
        <v>6</v>
      </c>
      <c r="B61" s="54" t="s">
        <v>142</v>
      </c>
      <c r="C61" s="54" t="s">
        <v>407</v>
      </c>
      <c r="D61" s="54" t="s">
        <v>393</v>
      </c>
      <c r="E61" s="53" t="s">
        <v>408</v>
      </c>
      <c r="F61" s="54" t="s">
        <v>409</v>
      </c>
      <c r="G61" s="55" t="s">
        <v>410</v>
      </c>
      <c r="H61" s="55" t="s">
        <v>411</v>
      </c>
      <c r="I61" s="54" t="s">
        <v>412</v>
      </c>
      <c r="J61" s="53" t="s">
        <v>79</v>
      </c>
      <c r="K61" s="53"/>
      <c r="L61" s="53"/>
      <c r="M61" s="53"/>
      <c r="N61" s="54" t="s">
        <v>413</v>
      </c>
    </row>
    <row r="62" spans="1:14" ht="42" customHeight="1">
      <c r="A62" s="53">
        <v>6</v>
      </c>
      <c r="B62" s="54" t="s">
        <v>142</v>
      </c>
      <c r="C62" s="54" t="s">
        <v>414</v>
      </c>
      <c r="D62" s="54" t="s">
        <v>393</v>
      </c>
      <c r="E62" s="53" t="s">
        <v>415</v>
      </c>
      <c r="F62" s="54" t="s">
        <v>416</v>
      </c>
      <c r="G62" s="55" t="s">
        <v>417</v>
      </c>
      <c r="H62" s="55" t="s">
        <v>418</v>
      </c>
      <c r="I62" s="54" t="s">
        <v>419</v>
      </c>
      <c r="J62" s="53" t="s">
        <v>79</v>
      </c>
      <c r="K62" s="53"/>
      <c r="L62" s="53"/>
      <c r="M62" s="53"/>
      <c r="N62" s="54" t="s">
        <v>399</v>
      </c>
    </row>
    <row r="63" spans="1:14" ht="42" customHeight="1">
      <c r="A63" s="53">
        <v>8</v>
      </c>
      <c r="B63" s="54" t="s">
        <v>172</v>
      </c>
      <c r="C63" s="54" t="s">
        <v>420</v>
      </c>
      <c r="D63" s="54" t="s">
        <v>393</v>
      </c>
      <c r="E63" s="53" t="s">
        <v>421</v>
      </c>
      <c r="F63" s="54" t="s">
        <v>422</v>
      </c>
      <c r="G63" s="55" t="s">
        <v>423</v>
      </c>
      <c r="H63" s="55" t="s">
        <v>424</v>
      </c>
      <c r="I63" s="54" t="s">
        <v>425</v>
      </c>
      <c r="J63" s="53" t="s">
        <v>79</v>
      </c>
      <c r="K63" s="53"/>
      <c r="L63" s="53"/>
      <c r="M63" s="53"/>
      <c r="N63" s="54" t="s">
        <v>406</v>
      </c>
    </row>
    <row r="64" spans="1:14" ht="42" customHeight="1">
      <c r="A64" s="53">
        <v>8</v>
      </c>
      <c r="B64" s="54" t="s">
        <v>172</v>
      </c>
      <c r="C64" s="54" t="s">
        <v>426</v>
      </c>
      <c r="D64" s="54" t="s">
        <v>393</v>
      </c>
      <c r="E64" s="53" t="s">
        <v>427</v>
      </c>
      <c r="F64" s="54" t="s">
        <v>428</v>
      </c>
      <c r="G64" s="55" t="s">
        <v>429</v>
      </c>
      <c r="H64" s="55" t="s">
        <v>430</v>
      </c>
      <c r="I64" s="54" t="s">
        <v>431</v>
      </c>
      <c r="J64" s="53" t="s">
        <v>79</v>
      </c>
      <c r="K64" s="53"/>
      <c r="L64" s="53"/>
      <c r="M64" s="53"/>
      <c r="N64" s="54" t="s">
        <v>432</v>
      </c>
    </row>
    <row r="65" spans="1:14" ht="42" customHeight="1">
      <c r="A65" s="53">
        <v>8</v>
      </c>
      <c r="B65" s="54" t="s">
        <v>172</v>
      </c>
      <c r="C65" s="54" t="s">
        <v>433</v>
      </c>
      <c r="D65" s="54" t="s">
        <v>393</v>
      </c>
      <c r="E65" s="53" t="s">
        <v>434</v>
      </c>
      <c r="F65" s="54" t="s">
        <v>435</v>
      </c>
      <c r="G65" s="55" t="s">
        <v>429</v>
      </c>
      <c r="H65" s="55" t="s">
        <v>436</v>
      </c>
      <c r="I65" s="54" t="s">
        <v>437</v>
      </c>
      <c r="J65" s="53" t="s">
        <v>79</v>
      </c>
      <c r="K65" s="53"/>
      <c r="L65" s="53"/>
      <c r="M65" s="53"/>
      <c r="N65" s="54" t="s">
        <v>432</v>
      </c>
    </row>
    <row r="66" spans="1:14" ht="42" customHeight="1">
      <c r="A66" s="53">
        <v>8</v>
      </c>
      <c r="B66" s="54" t="s">
        <v>172</v>
      </c>
      <c r="C66" s="54" t="s">
        <v>438</v>
      </c>
      <c r="D66" s="54" t="s">
        <v>393</v>
      </c>
      <c r="E66" s="53" t="s">
        <v>439</v>
      </c>
      <c r="F66" s="54" t="s">
        <v>440</v>
      </c>
      <c r="G66" s="55" t="s">
        <v>441</v>
      </c>
      <c r="H66" s="55" t="s">
        <v>442</v>
      </c>
      <c r="I66" s="54" t="s">
        <v>443</v>
      </c>
      <c r="J66" s="53"/>
      <c r="K66" s="53" t="s">
        <v>79</v>
      </c>
      <c r="L66" s="53"/>
      <c r="M66" s="53"/>
      <c r="N66" s="54" t="s">
        <v>444</v>
      </c>
    </row>
    <row r="67" spans="1:14" ht="42" customHeight="1">
      <c r="A67" s="53">
        <v>8</v>
      </c>
      <c r="B67" s="54" t="s">
        <v>172</v>
      </c>
      <c r="C67" s="54" t="s">
        <v>445</v>
      </c>
      <c r="D67" s="54" t="s">
        <v>393</v>
      </c>
      <c r="E67" s="53" t="s">
        <v>446</v>
      </c>
      <c r="F67" s="54" t="s">
        <v>447</v>
      </c>
      <c r="G67" s="55" t="s">
        <v>417</v>
      </c>
      <c r="H67" s="55" t="s">
        <v>448</v>
      </c>
      <c r="I67" s="54" t="s">
        <v>449</v>
      </c>
      <c r="J67" s="53" t="s">
        <v>79</v>
      </c>
      <c r="K67" s="53"/>
      <c r="L67" s="53"/>
      <c r="M67" s="53"/>
      <c r="N67" s="54" t="s">
        <v>399</v>
      </c>
    </row>
    <row r="68" spans="1:14" ht="42" customHeight="1">
      <c r="A68" s="53">
        <v>10</v>
      </c>
      <c r="B68" s="54" t="s">
        <v>195</v>
      </c>
      <c r="C68" s="54" t="s">
        <v>450</v>
      </c>
      <c r="D68" s="54" t="s">
        <v>393</v>
      </c>
      <c r="E68" s="53" t="s">
        <v>451</v>
      </c>
      <c r="F68" s="54" t="s">
        <v>452</v>
      </c>
      <c r="G68" s="55" t="s">
        <v>453</v>
      </c>
      <c r="H68" s="55" t="s">
        <v>454</v>
      </c>
      <c r="I68" s="54" t="s">
        <v>455</v>
      </c>
      <c r="J68" s="53"/>
      <c r="K68" s="53" t="s">
        <v>79</v>
      </c>
      <c r="L68" s="53"/>
      <c r="M68" s="53"/>
      <c r="N68" s="54" t="s">
        <v>456</v>
      </c>
    </row>
    <row r="69" spans="1:14" ht="42" customHeight="1">
      <c r="A69" s="53">
        <v>11</v>
      </c>
      <c r="B69" s="54" t="s">
        <v>210</v>
      </c>
      <c r="C69" s="54" t="s">
        <v>457</v>
      </c>
      <c r="D69" s="54" t="s">
        <v>393</v>
      </c>
      <c r="E69" s="53" t="s">
        <v>458</v>
      </c>
      <c r="F69" s="54" t="s">
        <v>459</v>
      </c>
      <c r="G69" s="55" t="s">
        <v>453</v>
      </c>
      <c r="H69" s="55" t="s">
        <v>460</v>
      </c>
      <c r="I69" s="54" t="s">
        <v>461</v>
      </c>
      <c r="J69" s="53" t="s">
        <v>79</v>
      </c>
      <c r="K69" s="53"/>
      <c r="L69" s="53"/>
      <c r="M69" s="53"/>
      <c r="N69" s="54" t="s">
        <v>462</v>
      </c>
    </row>
    <row r="70" spans="1:14" ht="42" customHeight="1">
      <c r="A70" s="53">
        <v>11</v>
      </c>
      <c r="B70" s="54" t="s">
        <v>210</v>
      </c>
      <c r="C70" s="54" t="s">
        <v>463</v>
      </c>
      <c r="D70" s="54" t="s">
        <v>393</v>
      </c>
      <c r="E70" s="53" t="s">
        <v>464</v>
      </c>
      <c r="F70" s="54" t="s">
        <v>465</v>
      </c>
      <c r="G70" s="55" t="s">
        <v>466</v>
      </c>
      <c r="H70" s="55" t="s">
        <v>467</v>
      </c>
      <c r="I70" s="54" t="s">
        <v>468</v>
      </c>
      <c r="J70" s="53" t="s">
        <v>79</v>
      </c>
      <c r="K70" s="53"/>
      <c r="L70" s="53"/>
      <c r="M70" s="53"/>
      <c r="N70" s="54" t="s">
        <v>469</v>
      </c>
    </row>
    <row r="71" spans="1:14" ht="42" customHeight="1">
      <c r="A71" s="53">
        <v>11</v>
      </c>
      <c r="B71" s="54" t="s">
        <v>210</v>
      </c>
      <c r="C71" s="54" t="s">
        <v>470</v>
      </c>
      <c r="D71" s="54" t="s">
        <v>393</v>
      </c>
      <c r="E71" s="53" t="s">
        <v>471</v>
      </c>
      <c r="F71" s="54" t="s">
        <v>472</v>
      </c>
      <c r="G71" s="55" t="s">
        <v>473</v>
      </c>
      <c r="H71" s="55" t="s">
        <v>474</v>
      </c>
      <c r="I71" s="54" t="s">
        <v>475</v>
      </c>
      <c r="J71" s="53" t="s">
        <v>79</v>
      </c>
      <c r="K71" s="53"/>
      <c r="L71" s="53"/>
      <c r="M71" s="53"/>
      <c r="N71" s="54" t="s">
        <v>476</v>
      </c>
    </row>
    <row r="72" spans="1:14" ht="42" customHeight="1">
      <c r="A72" s="53">
        <v>11</v>
      </c>
      <c r="B72" s="54" t="s">
        <v>210</v>
      </c>
      <c r="C72" s="54" t="s">
        <v>477</v>
      </c>
      <c r="D72" s="54" t="s">
        <v>393</v>
      </c>
      <c r="E72" s="53" t="s">
        <v>478</v>
      </c>
      <c r="F72" s="54" t="s">
        <v>479</v>
      </c>
      <c r="G72" s="55" t="s">
        <v>480</v>
      </c>
      <c r="H72" s="55" t="s">
        <v>481</v>
      </c>
      <c r="I72" s="54" t="s">
        <v>482</v>
      </c>
      <c r="J72" s="53" t="s">
        <v>79</v>
      </c>
      <c r="K72" s="53"/>
      <c r="L72" s="53"/>
      <c r="M72" s="53"/>
      <c r="N72" s="54" t="s">
        <v>483</v>
      </c>
    </row>
    <row r="73" spans="1:14" ht="42" customHeight="1">
      <c r="A73" s="53">
        <v>13</v>
      </c>
      <c r="B73" s="54" t="s">
        <v>484</v>
      </c>
      <c r="C73" s="54" t="s">
        <v>485</v>
      </c>
      <c r="D73" s="54" t="s">
        <v>393</v>
      </c>
      <c r="E73" s="53" t="s">
        <v>486</v>
      </c>
      <c r="F73" s="54" t="s">
        <v>487</v>
      </c>
      <c r="G73" s="55" t="s">
        <v>488</v>
      </c>
      <c r="H73" s="55" t="s">
        <v>489</v>
      </c>
      <c r="I73" s="54" t="s">
        <v>490</v>
      </c>
      <c r="J73" s="53" t="s">
        <v>79</v>
      </c>
      <c r="K73" s="53"/>
      <c r="L73" s="53"/>
      <c r="M73" s="53"/>
      <c r="N73" s="54" t="s">
        <v>491</v>
      </c>
    </row>
    <row r="74" spans="1:14" ht="42" customHeight="1">
      <c r="A74" s="53">
        <v>13</v>
      </c>
      <c r="B74" s="54" t="s">
        <v>484</v>
      </c>
      <c r="C74" s="54" t="s">
        <v>492</v>
      </c>
      <c r="D74" s="54" t="s">
        <v>393</v>
      </c>
      <c r="E74" s="53" t="s">
        <v>493</v>
      </c>
      <c r="F74" s="54" t="s">
        <v>494</v>
      </c>
      <c r="G74" s="55" t="s">
        <v>488</v>
      </c>
      <c r="H74" s="55" t="s">
        <v>495</v>
      </c>
      <c r="I74" s="54" t="s">
        <v>496</v>
      </c>
      <c r="J74" s="53" t="s">
        <v>79</v>
      </c>
      <c r="K74" s="53"/>
      <c r="L74" s="53"/>
      <c r="M74" s="53"/>
      <c r="N74" s="54" t="s">
        <v>491</v>
      </c>
    </row>
    <row r="75" spans="1:14" ht="42" customHeight="1">
      <c r="A75" s="53">
        <v>13</v>
      </c>
      <c r="B75" s="54" t="s">
        <v>484</v>
      </c>
      <c r="C75" s="54" t="s">
        <v>497</v>
      </c>
      <c r="D75" s="54" t="s">
        <v>393</v>
      </c>
      <c r="E75" s="53" t="s">
        <v>498</v>
      </c>
      <c r="F75" s="54" t="s">
        <v>499</v>
      </c>
      <c r="G75" s="55" t="s">
        <v>480</v>
      </c>
      <c r="H75" s="55" t="s">
        <v>500</v>
      </c>
      <c r="I75" s="54" t="s">
        <v>501</v>
      </c>
      <c r="J75" s="53" t="s">
        <v>79</v>
      </c>
      <c r="K75" s="53"/>
      <c r="L75" s="53"/>
      <c r="M75" s="53"/>
      <c r="N75" s="54" t="s">
        <v>483</v>
      </c>
    </row>
    <row r="76" spans="1:14" ht="42" customHeight="1">
      <c r="A76" s="53">
        <v>13</v>
      </c>
      <c r="B76" s="54" t="s">
        <v>484</v>
      </c>
      <c r="C76" s="54" t="s">
        <v>502</v>
      </c>
      <c r="D76" s="54" t="s">
        <v>393</v>
      </c>
      <c r="E76" s="53" t="s">
        <v>503</v>
      </c>
      <c r="F76" s="54" t="s">
        <v>504</v>
      </c>
      <c r="G76" s="55" t="s">
        <v>480</v>
      </c>
      <c r="H76" s="55" t="s">
        <v>505</v>
      </c>
      <c r="I76" s="54" t="s">
        <v>506</v>
      </c>
      <c r="J76" s="53" t="s">
        <v>79</v>
      </c>
      <c r="K76" s="53"/>
      <c r="L76" s="53"/>
      <c r="M76" s="53"/>
      <c r="N76" s="54" t="s">
        <v>483</v>
      </c>
    </row>
    <row r="77" spans="1:14" ht="42" customHeight="1">
      <c r="A77" s="53">
        <v>12</v>
      </c>
      <c r="B77" s="54" t="s">
        <v>218</v>
      </c>
      <c r="C77" s="54" t="s">
        <v>507</v>
      </c>
      <c r="D77" s="54" t="s">
        <v>393</v>
      </c>
      <c r="E77" s="53" t="s">
        <v>508</v>
      </c>
      <c r="F77" s="54" t="s">
        <v>509</v>
      </c>
      <c r="G77" s="55" t="s">
        <v>510</v>
      </c>
      <c r="H77" s="55" t="s">
        <v>511</v>
      </c>
      <c r="I77" s="54" t="s">
        <v>512</v>
      </c>
      <c r="J77" s="53" t="s">
        <v>79</v>
      </c>
      <c r="K77" s="53"/>
      <c r="L77" s="53"/>
      <c r="M77" s="53"/>
      <c r="N77" s="54" t="s">
        <v>406</v>
      </c>
    </row>
    <row r="78" spans="1:14" ht="42" customHeight="1">
      <c r="A78" s="53">
        <v>12</v>
      </c>
      <c r="B78" s="54" t="s">
        <v>218</v>
      </c>
      <c r="C78" s="54" t="s">
        <v>513</v>
      </c>
      <c r="D78" s="54" t="s">
        <v>393</v>
      </c>
      <c r="E78" s="53" t="s">
        <v>514</v>
      </c>
      <c r="F78" s="54" t="s">
        <v>515</v>
      </c>
      <c r="G78" s="55" t="s">
        <v>417</v>
      </c>
      <c r="H78" s="55" t="s">
        <v>516</v>
      </c>
      <c r="I78" s="54" t="s">
        <v>517</v>
      </c>
      <c r="J78" s="53" t="s">
        <v>79</v>
      </c>
      <c r="K78" s="53"/>
      <c r="L78" s="53"/>
      <c r="M78" s="53"/>
      <c r="N78" s="54" t="s">
        <v>399</v>
      </c>
    </row>
    <row r="79" spans="1:14" ht="42" customHeight="1">
      <c r="A79" s="53">
        <v>12</v>
      </c>
      <c r="B79" s="54" t="s">
        <v>218</v>
      </c>
      <c r="C79" s="54" t="s">
        <v>518</v>
      </c>
      <c r="D79" s="54" t="s">
        <v>393</v>
      </c>
      <c r="E79" s="53" t="s">
        <v>519</v>
      </c>
      <c r="F79" s="54" t="s">
        <v>520</v>
      </c>
      <c r="G79" s="55" t="s">
        <v>417</v>
      </c>
      <c r="H79" s="55" t="s">
        <v>521</v>
      </c>
      <c r="I79" s="54" t="s">
        <v>522</v>
      </c>
      <c r="J79" s="53" t="s">
        <v>79</v>
      </c>
      <c r="K79" s="53"/>
      <c r="L79" s="53"/>
      <c r="M79" s="53"/>
      <c r="N79" s="54" t="s">
        <v>399</v>
      </c>
    </row>
    <row r="80" spans="1:14" ht="42" customHeight="1">
      <c r="A80" s="53">
        <v>12</v>
      </c>
      <c r="B80" s="54" t="s">
        <v>218</v>
      </c>
      <c r="C80" s="54" t="s">
        <v>523</v>
      </c>
      <c r="D80" s="54" t="s">
        <v>393</v>
      </c>
      <c r="E80" s="53" t="s">
        <v>524</v>
      </c>
      <c r="F80" s="54" t="s">
        <v>525</v>
      </c>
      <c r="G80" s="55" t="s">
        <v>473</v>
      </c>
      <c r="H80" s="55" t="s">
        <v>526</v>
      </c>
      <c r="I80" s="54" t="s">
        <v>527</v>
      </c>
      <c r="J80" s="53" t="s">
        <v>79</v>
      </c>
      <c r="K80" s="53"/>
      <c r="L80" s="53"/>
      <c r="M80" s="53"/>
      <c r="N80" s="54" t="s">
        <v>476</v>
      </c>
    </row>
    <row r="81" spans="1:14" ht="42" customHeight="1">
      <c r="A81" s="53">
        <v>16</v>
      </c>
      <c r="B81" s="54" t="s">
        <v>256</v>
      </c>
      <c r="C81" s="54" t="s">
        <v>528</v>
      </c>
      <c r="D81" s="54" t="s">
        <v>393</v>
      </c>
      <c r="E81" s="53" t="s">
        <v>529</v>
      </c>
      <c r="F81" s="54" t="s">
        <v>530</v>
      </c>
      <c r="G81" s="55" t="s">
        <v>531</v>
      </c>
      <c r="H81" s="55" t="s">
        <v>532</v>
      </c>
      <c r="I81" s="54" t="s">
        <v>533</v>
      </c>
      <c r="J81" s="53" t="s">
        <v>79</v>
      </c>
      <c r="K81" s="53"/>
      <c r="L81" s="53"/>
      <c r="M81" s="53"/>
      <c r="N81" s="54" t="s">
        <v>534</v>
      </c>
    </row>
    <row r="82" spans="1:14" ht="42" customHeight="1">
      <c r="A82" s="53">
        <v>14</v>
      </c>
      <c r="B82" s="54" t="s">
        <v>241</v>
      </c>
      <c r="C82" s="54" t="s">
        <v>535</v>
      </c>
      <c r="D82" s="54" t="s">
        <v>393</v>
      </c>
      <c r="E82" s="53" t="s">
        <v>536</v>
      </c>
      <c r="F82" s="54" t="s">
        <v>537</v>
      </c>
      <c r="G82" s="55" t="s">
        <v>538</v>
      </c>
      <c r="H82" s="55" t="s">
        <v>539</v>
      </c>
      <c r="I82" s="54" t="s">
        <v>540</v>
      </c>
      <c r="J82" s="53" t="s">
        <v>79</v>
      </c>
      <c r="K82" s="53"/>
      <c r="L82" s="53"/>
      <c r="M82" s="53"/>
      <c r="N82" s="54" t="s">
        <v>541</v>
      </c>
    </row>
    <row r="83" spans="1:14" ht="42" customHeight="1">
      <c r="A83" s="53">
        <v>14</v>
      </c>
      <c r="B83" s="54" t="s">
        <v>241</v>
      </c>
      <c r="C83" s="54" t="s">
        <v>542</v>
      </c>
      <c r="D83" s="54" t="s">
        <v>393</v>
      </c>
      <c r="E83" s="53" t="s">
        <v>543</v>
      </c>
      <c r="F83" s="54" t="s">
        <v>544</v>
      </c>
      <c r="G83" s="55" t="s">
        <v>480</v>
      </c>
      <c r="H83" s="55" t="s">
        <v>545</v>
      </c>
      <c r="I83" s="54" t="s">
        <v>546</v>
      </c>
      <c r="J83" s="53" t="s">
        <v>79</v>
      </c>
      <c r="K83" s="53"/>
      <c r="L83" s="53"/>
      <c r="M83" s="53"/>
      <c r="N83" s="54" t="s">
        <v>483</v>
      </c>
    </row>
    <row r="84" spans="1:14" ht="42" customHeight="1">
      <c r="A84" s="53">
        <v>20</v>
      </c>
      <c r="B84" s="54" t="s">
        <v>322</v>
      </c>
      <c r="C84" s="54" t="s">
        <v>547</v>
      </c>
      <c r="D84" s="54" t="s">
        <v>393</v>
      </c>
      <c r="E84" s="53" t="s">
        <v>548</v>
      </c>
      <c r="F84" s="54" t="s">
        <v>549</v>
      </c>
      <c r="G84" s="55" t="s">
        <v>488</v>
      </c>
      <c r="H84" s="55" t="s">
        <v>550</v>
      </c>
      <c r="I84" s="54" t="s">
        <v>551</v>
      </c>
      <c r="J84" s="53" t="s">
        <v>79</v>
      </c>
      <c r="K84" s="53"/>
      <c r="L84" s="53"/>
      <c r="M84" s="53"/>
      <c r="N84" s="54" t="s">
        <v>491</v>
      </c>
    </row>
    <row r="85" spans="1:14" ht="42" customHeight="1">
      <c r="A85" s="53">
        <v>20</v>
      </c>
      <c r="B85" s="54" t="s">
        <v>322</v>
      </c>
      <c r="C85" s="54" t="s">
        <v>552</v>
      </c>
      <c r="D85" s="54" t="s">
        <v>393</v>
      </c>
      <c r="E85" s="53" t="s">
        <v>553</v>
      </c>
      <c r="F85" s="54" t="s">
        <v>554</v>
      </c>
      <c r="G85" s="55" t="s">
        <v>429</v>
      </c>
      <c r="H85" s="55" t="s">
        <v>555</v>
      </c>
      <c r="I85" s="54" t="s">
        <v>556</v>
      </c>
      <c r="J85" s="53" t="s">
        <v>79</v>
      </c>
      <c r="K85" s="53"/>
      <c r="L85" s="53"/>
      <c r="M85" s="53"/>
      <c r="N85" s="54" t="s">
        <v>432</v>
      </c>
    </row>
    <row r="86" spans="1:14" ht="42" customHeight="1">
      <c r="A86" s="53">
        <v>20</v>
      </c>
      <c r="B86" s="54" t="s">
        <v>322</v>
      </c>
      <c r="C86" s="54" t="s">
        <v>557</v>
      </c>
      <c r="D86" s="54" t="s">
        <v>393</v>
      </c>
      <c r="E86" s="53" t="s">
        <v>558</v>
      </c>
      <c r="F86" s="54" t="s">
        <v>559</v>
      </c>
      <c r="G86" s="55" t="s">
        <v>560</v>
      </c>
      <c r="H86" s="55" t="s">
        <v>561</v>
      </c>
      <c r="I86" s="54" t="s">
        <v>562</v>
      </c>
      <c r="J86" s="53" t="s">
        <v>79</v>
      </c>
      <c r="K86" s="53"/>
      <c r="L86" s="53"/>
      <c r="M86" s="53"/>
      <c r="N86" s="54" t="s">
        <v>563</v>
      </c>
    </row>
    <row r="87" spans="1:14" ht="42" customHeight="1">
      <c r="A87" s="53">
        <v>20</v>
      </c>
      <c r="B87" s="54" t="s">
        <v>322</v>
      </c>
      <c r="C87" s="54" t="s">
        <v>564</v>
      </c>
      <c r="D87" s="54" t="s">
        <v>393</v>
      </c>
      <c r="E87" s="53" t="s">
        <v>565</v>
      </c>
      <c r="F87" s="54" t="s">
        <v>566</v>
      </c>
      <c r="G87" s="55" t="s">
        <v>538</v>
      </c>
      <c r="H87" s="55" t="s">
        <v>567</v>
      </c>
      <c r="I87" s="54" t="s">
        <v>568</v>
      </c>
      <c r="J87" s="53" t="s">
        <v>79</v>
      </c>
      <c r="K87" s="53"/>
      <c r="L87" s="53"/>
      <c r="M87" s="53"/>
      <c r="N87" s="54" t="s">
        <v>541</v>
      </c>
    </row>
    <row r="88" spans="1:14" ht="42" customHeight="1">
      <c r="A88" s="53">
        <v>17</v>
      </c>
      <c r="B88" s="54" t="s">
        <v>277</v>
      </c>
      <c r="C88" s="54" t="s">
        <v>569</v>
      </c>
      <c r="D88" s="54" t="s">
        <v>393</v>
      </c>
      <c r="E88" s="53" t="s">
        <v>570</v>
      </c>
      <c r="F88" s="54" t="s">
        <v>571</v>
      </c>
      <c r="G88" s="55" t="s">
        <v>473</v>
      </c>
      <c r="H88" s="55" t="s">
        <v>572</v>
      </c>
      <c r="I88" s="54" t="s">
        <v>573</v>
      </c>
      <c r="J88" s="53" t="s">
        <v>79</v>
      </c>
      <c r="K88" s="53"/>
      <c r="L88" s="53"/>
      <c r="M88" s="53"/>
      <c r="N88" s="54" t="s">
        <v>476</v>
      </c>
    </row>
    <row r="89" spans="1:14" ht="42" customHeight="1">
      <c r="A89" s="53">
        <v>17</v>
      </c>
      <c r="B89" s="54" t="s">
        <v>277</v>
      </c>
      <c r="C89" s="54" t="s">
        <v>574</v>
      </c>
      <c r="D89" s="54" t="s">
        <v>393</v>
      </c>
      <c r="E89" s="53" t="s">
        <v>575</v>
      </c>
      <c r="F89" s="54" t="s">
        <v>576</v>
      </c>
      <c r="G89" s="55" t="s">
        <v>488</v>
      </c>
      <c r="H89" s="55" t="s">
        <v>577</v>
      </c>
      <c r="I89" s="54" t="s">
        <v>578</v>
      </c>
      <c r="J89" s="53" t="s">
        <v>79</v>
      </c>
      <c r="K89" s="53"/>
      <c r="L89" s="53"/>
      <c r="M89" s="53"/>
      <c r="N89" s="54" t="s">
        <v>491</v>
      </c>
    </row>
    <row r="90" spans="1:14" ht="42" customHeight="1">
      <c r="A90" s="53">
        <v>18</v>
      </c>
      <c r="B90" s="54" t="s">
        <v>288</v>
      </c>
      <c r="C90" s="54" t="s">
        <v>579</v>
      </c>
      <c r="D90" s="54" t="s">
        <v>393</v>
      </c>
      <c r="E90" s="53" t="s">
        <v>580</v>
      </c>
      <c r="F90" s="54" t="s">
        <v>581</v>
      </c>
      <c r="G90" s="55" t="s">
        <v>538</v>
      </c>
      <c r="H90" s="55" t="s">
        <v>582</v>
      </c>
      <c r="I90" s="54" t="s">
        <v>583</v>
      </c>
      <c r="J90" s="53" t="s">
        <v>79</v>
      </c>
      <c r="K90" s="53"/>
      <c r="L90" s="53"/>
      <c r="M90" s="53"/>
      <c r="N90" s="54" t="s">
        <v>541</v>
      </c>
    </row>
    <row r="91" spans="1:14" ht="42" customHeight="1">
      <c r="A91" s="53">
        <v>19</v>
      </c>
      <c r="B91" s="54" t="s">
        <v>303</v>
      </c>
      <c r="C91" s="54" t="s">
        <v>584</v>
      </c>
      <c r="D91" s="54" t="s">
        <v>393</v>
      </c>
      <c r="E91" s="53" t="s">
        <v>585</v>
      </c>
      <c r="F91" s="54" t="s">
        <v>586</v>
      </c>
      <c r="G91" s="55" t="s">
        <v>453</v>
      </c>
      <c r="H91" s="55" t="s">
        <v>587</v>
      </c>
      <c r="I91" s="54" t="s">
        <v>588</v>
      </c>
      <c r="J91" s="53" t="s">
        <v>79</v>
      </c>
      <c r="K91" s="53"/>
      <c r="L91" s="53"/>
      <c r="M91" s="53"/>
      <c r="N91" s="54" t="s">
        <v>462</v>
      </c>
    </row>
    <row r="92" spans="1:14" ht="42" customHeight="1">
      <c r="A92" s="53">
        <v>21</v>
      </c>
      <c r="B92" s="54" t="s">
        <v>350</v>
      </c>
      <c r="C92" s="54" t="s">
        <v>589</v>
      </c>
      <c r="D92" s="54" t="s">
        <v>393</v>
      </c>
      <c r="E92" s="53" t="s">
        <v>590</v>
      </c>
      <c r="F92" s="54" t="s">
        <v>591</v>
      </c>
      <c r="G92" s="55" t="s">
        <v>592</v>
      </c>
      <c r="H92" s="55" t="s">
        <v>593</v>
      </c>
      <c r="I92" s="54" t="s">
        <v>594</v>
      </c>
      <c r="J92" s="53" t="s">
        <v>79</v>
      </c>
      <c r="K92" s="53"/>
      <c r="L92" s="53"/>
      <c r="M92" s="53"/>
      <c r="N92" s="54" t="s">
        <v>595</v>
      </c>
    </row>
    <row r="93" spans="1:14" ht="42" customHeight="1">
      <c r="A93" s="53">
        <v>21</v>
      </c>
      <c r="B93" s="54" t="s">
        <v>350</v>
      </c>
      <c r="C93" s="54" t="s">
        <v>596</v>
      </c>
      <c r="D93" s="54" t="s">
        <v>393</v>
      </c>
      <c r="E93" s="53" t="s">
        <v>597</v>
      </c>
      <c r="F93" s="54" t="s">
        <v>598</v>
      </c>
      <c r="G93" s="55" t="s">
        <v>592</v>
      </c>
      <c r="H93" s="55" t="s">
        <v>599</v>
      </c>
      <c r="I93" s="54" t="s">
        <v>600</v>
      </c>
      <c r="J93" s="53" t="s">
        <v>79</v>
      </c>
      <c r="K93" s="53"/>
      <c r="L93" s="53"/>
      <c r="M93" s="53"/>
      <c r="N93" s="54" t="s">
        <v>595</v>
      </c>
    </row>
    <row r="94" spans="1:14" ht="42" customHeight="1">
      <c r="A94" s="53">
        <v>22</v>
      </c>
      <c r="B94" s="54" t="s">
        <v>365</v>
      </c>
      <c r="C94" s="54" t="s">
        <v>601</v>
      </c>
      <c r="D94" s="54" t="s">
        <v>393</v>
      </c>
      <c r="E94" s="53" t="s">
        <v>602</v>
      </c>
      <c r="F94" s="54" t="s">
        <v>603</v>
      </c>
      <c r="G94" s="55" t="s">
        <v>417</v>
      </c>
      <c r="H94" s="55" t="s">
        <v>604</v>
      </c>
      <c r="I94" s="54" t="s">
        <v>605</v>
      </c>
      <c r="J94" s="53" t="s">
        <v>79</v>
      </c>
      <c r="K94" s="53"/>
      <c r="L94" s="53"/>
      <c r="M94" s="53"/>
      <c r="N94" s="54" t="s">
        <v>399</v>
      </c>
    </row>
    <row r="95" spans="1:14" ht="42" customHeight="1">
      <c r="A95" s="53">
        <v>22</v>
      </c>
      <c r="B95" s="54" t="s">
        <v>365</v>
      </c>
      <c r="C95" s="54" t="s">
        <v>606</v>
      </c>
      <c r="D95" s="54" t="s">
        <v>393</v>
      </c>
      <c r="E95" s="53" t="s">
        <v>607</v>
      </c>
      <c r="F95" s="54" t="s">
        <v>608</v>
      </c>
      <c r="G95" s="55" t="s">
        <v>488</v>
      </c>
      <c r="H95" s="55" t="s">
        <v>609</v>
      </c>
      <c r="I95" s="54" t="s">
        <v>610</v>
      </c>
      <c r="J95" s="53" t="s">
        <v>79</v>
      </c>
      <c r="K95" s="53"/>
      <c r="L95" s="53"/>
      <c r="M95" s="53"/>
      <c r="N95" s="54" t="s">
        <v>491</v>
      </c>
    </row>
    <row r="96" spans="1:14" ht="42" customHeight="1">
      <c r="A96" s="53">
        <v>22</v>
      </c>
      <c r="B96" s="54" t="s">
        <v>365</v>
      </c>
      <c r="C96" s="54" t="s">
        <v>611</v>
      </c>
      <c r="D96" s="54" t="s">
        <v>393</v>
      </c>
      <c r="E96" s="53" t="s">
        <v>612</v>
      </c>
      <c r="F96" s="54" t="s">
        <v>613</v>
      </c>
      <c r="G96" s="55" t="s">
        <v>614</v>
      </c>
      <c r="H96" s="55" t="s">
        <v>615</v>
      </c>
      <c r="I96" s="54" t="s">
        <v>616</v>
      </c>
      <c r="J96" s="53" t="s">
        <v>79</v>
      </c>
      <c r="K96" s="53"/>
      <c r="L96" s="53"/>
      <c r="M96" s="53"/>
      <c r="N96" s="54" t="s">
        <v>617</v>
      </c>
    </row>
    <row r="97" spans="1:14" ht="42" customHeight="1">
      <c r="A97" s="53">
        <v>22</v>
      </c>
      <c r="B97" s="54" t="s">
        <v>365</v>
      </c>
      <c r="C97" s="54" t="s">
        <v>618</v>
      </c>
      <c r="D97" s="54" t="s">
        <v>393</v>
      </c>
      <c r="E97" s="53" t="s">
        <v>619</v>
      </c>
      <c r="F97" s="54" t="s">
        <v>620</v>
      </c>
      <c r="G97" s="55" t="s">
        <v>488</v>
      </c>
      <c r="H97" s="55" t="s">
        <v>621</v>
      </c>
      <c r="I97" s="54" t="s">
        <v>622</v>
      </c>
      <c r="J97" s="53" t="s">
        <v>79</v>
      </c>
      <c r="K97" s="53"/>
      <c r="L97" s="53"/>
      <c r="M97" s="53"/>
      <c r="N97" s="54" t="s">
        <v>491</v>
      </c>
    </row>
    <row r="98" spans="1:14" ht="42" customHeight="1">
      <c r="A98" s="53">
        <v>22</v>
      </c>
      <c r="B98" s="54" t="s">
        <v>365</v>
      </c>
      <c r="C98" s="54" t="s">
        <v>623</v>
      </c>
      <c r="D98" s="54" t="s">
        <v>393</v>
      </c>
      <c r="E98" s="53" t="s">
        <v>624</v>
      </c>
      <c r="F98" s="54" t="s">
        <v>625</v>
      </c>
      <c r="G98" s="55" t="s">
        <v>592</v>
      </c>
      <c r="H98" s="55" t="s">
        <v>626</v>
      </c>
      <c r="I98" s="54" t="s">
        <v>627</v>
      </c>
      <c r="J98" s="53" t="s">
        <v>79</v>
      </c>
      <c r="K98" s="53"/>
      <c r="L98" s="53"/>
      <c r="M98" s="53"/>
      <c r="N98" s="54" t="s">
        <v>595</v>
      </c>
    </row>
    <row r="99" spans="1:14" ht="12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</row>
    <row r="100" spans="1:14" ht="12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</row>
    <row r="101" spans="1:14" ht="12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</row>
    <row r="102" spans="1:14" ht="12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</row>
    <row r="103" spans="1:14" ht="12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</row>
    <row r="104" spans="1:14" ht="12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</row>
    <row r="105" spans="1:14" ht="12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</row>
    <row r="106" spans="1:14" ht="12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</row>
    <row r="107" spans="1:14" ht="12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</row>
    <row r="108" spans="1:14" ht="12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</row>
    <row r="109" spans="1:14" ht="12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</row>
    <row r="113" spans="1:9" ht="42" customHeight="1"/>
    <row r="114" spans="1:9" ht="12.75" customHeight="1">
      <c r="A114" s="56"/>
      <c r="B114" s="56"/>
      <c r="C114" s="56"/>
      <c r="D114" s="56"/>
      <c r="E114" s="56"/>
      <c r="F114" s="56"/>
      <c r="G114" s="56"/>
      <c r="H114" s="56"/>
      <c r="I114" s="56"/>
    </row>
    <row r="115" spans="1:9" ht="12.75" customHeight="1">
      <c r="A115" s="56"/>
      <c r="B115" s="56"/>
      <c r="C115" s="56"/>
      <c r="D115" s="56"/>
      <c r="E115" s="56"/>
      <c r="F115" s="56"/>
      <c r="G115" s="56"/>
      <c r="H115" s="56"/>
      <c r="I115" s="56"/>
    </row>
    <row r="116" spans="1:9" ht="12.75" customHeight="1">
      <c r="A116" s="56"/>
      <c r="B116" s="56"/>
      <c r="C116" s="56"/>
      <c r="D116" s="56"/>
      <c r="E116" s="56"/>
      <c r="F116" s="56"/>
      <c r="G116" s="56"/>
      <c r="H116" s="56"/>
      <c r="I116" s="56"/>
    </row>
    <row r="117" spans="1:9" ht="12.75" customHeight="1">
      <c r="A117" s="56"/>
      <c r="B117" s="56"/>
      <c r="C117" s="56"/>
      <c r="D117" s="56"/>
      <c r="E117" s="56"/>
      <c r="F117" s="56"/>
      <c r="G117" s="56"/>
      <c r="H117" s="56"/>
      <c r="I117" s="56"/>
    </row>
    <row r="118" spans="1:9" ht="12.75" customHeight="1">
      <c r="A118" s="56"/>
      <c r="B118" s="56"/>
      <c r="C118" s="56"/>
      <c r="D118" s="56"/>
      <c r="E118" s="56"/>
      <c r="F118" s="56"/>
      <c r="G118" s="56"/>
      <c r="H118" s="56"/>
      <c r="I118" s="56"/>
    </row>
    <row r="119" spans="1:9" ht="12.75" customHeight="1">
      <c r="A119" s="56"/>
      <c r="B119" s="56"/>
      <c r="C119" s="56"/>
      <c r="D119" s="56"/>
      <c r="E119" s="56"/>
      <c r="F119" s="56"/>
      <c r="G119" s="56"/>
      <c r="H119" s="56"/>
      <c r="I119" s="56"/>
    </row>
    <row r="120" spans="1:9" ht="12.75" customHeight="1">
      <c r="A120" s="56"/>
      <c r="B120" s="56"/>
      <c r="C120" s="56"/>
      <c r="D120" s="56"/>
      <c r="E120" s="56"/>
      <c r="F120" s="56"/>
      <c r="G120" s="56"/>
      <c r="H120" s="56"/>
      <c r="I120" s="56"/>
    </row>
    <row r="121" spans="1:9" ht="12.75" customHeight="1">
      <c r="A121" s="56"/>
      <c r="B121" s="56"/>
      <c r="C121" s="56"/>
      <c r="D121" s="56"/>
      <c r="E121" s="56"/>
      <c r="F121" s="56"/>
      <c r="G121" s="56"/>
      <c r="H121" s="56"/>
      <c r="I121" s="56"/>
    </row>
    <row r="122" spans="1:9" ht="12.75" customHeight="1">
      <c r="A122" s="56"/>
      <c r="B122" s="56"/>
      <c r="C122" s="56"/>
      <c r="D122" s="56"/>
      <c r="E122" s="56"/>
      <c r="F122" s="56"/>
      <c r="G122" s="56"/>
      <c r="H122" s="56"/>
      <c r="I122" s="56"/>
    </row>
    <row r="123" spans="1:9" ht="12.75" customHeight="1">
      <c r="A123" s="56"/>
      <c r="B123" s="56"/>
      <c r="C123" s="56"/>
      <c r="D123" s="56"/>
      <c r="E123" s="56"/>
      <c r="F123" s="56"/>
      <c r="G123" s="56"/>
      <c r="H123" s="56"/>
      <c r="I123" s="56"/>
    </row>
    <row r="124" spans="1:9" ht="12.75" customHeight="1">
      <c r="A124" s="56"/>
      <c r="B124" s="56"/>
      <c r="C124" s="56"/>
      <c r="D124" s="56"/>
      <c r="E124" s="56"/>
      <c r="F124" s="56"/>
      <c r="G124" s="56"/>
      <c r="H124" s="56"/>
      <c r="I124" s="56"/>
    </row>
    <row r="125" spans="1:9" ht="12.75" customHeight="1">
      <c r="A125" s="56"/>
      <c r="B125" s="56"/>
      <c r="C125" s="56"/>
      <c r="D125" s="56"/>
      <c r="E125" s="56"/>
      <c r="F125" s="56"/>
      <c r="G125" s="56"/>
      <c r="H125" s="56"/>
      <c r="I125" s="56"/>
    </row>
    <row r="126" spans="1:9" ht="12.75" customHeight="1">
      <c r="A126" s="56"/>
      <c r="B126" s="56"/>
      <c r="C126" s="56"/>
      <c r="D126" s="56"/>
      <c r="E126" s="56"/>
      <c r="F126" s="56"/>
      <c r="G126" s="56"/>
      <c r="H126" s="56"/>
      <c r="I126" s="56"/>
    </row>
    <row r="127" spans="1:9" ht="12.75" customHeight="1">
      <c r="A127" s="56"/>
      <c r="B127" s="56"/>
      <c r="C127" s="56"/>
      <c r="D127" s="56"/>
      <c r="E127" s="56"/>
      <c r="F127" s="56"/>
      <c r="G127" s="56"/>
      <c r="H127" s="56"/>
      <c r="I127" s="56"/>
    </row>
    <row r="128" spans="1:9" ht="12.75" customHeight="1">
      <c r="A128" s="56"/>
      <c r="B128" s="56"/>
      <c r="C128" s="56"/>
      <c r="D128" s="56"/>
      <c r="E128" s="56"/>
      <c r="F128" s="56"/>
      <c r="G128" s="56"/>
      <c r="H128" s="56"/>
      <c r="I128" s="56"/>
    </row>
    <row r="129" spans="1:9" ht="12.75" customHeight="1">
      <c r="A129" s="56"/>
      <c r="B129" s="56"/>
      <c r="C129" s="56"/>
      <c r="D129" s="56"/>
      <c r="E129" s="56"/>
      <c r="F129" s="56"/>
      <c r="G129" s="56"/>
      <c r="H129" s="56"/>
      <c r="I129" s="56"/>
    </row>
    <row r="130" spans="1:9" ht="12.75" customHeight="1">
      <c r="A130" s="56"/>
      <c r="B130" s="56"/>
      <c r="C130" s="56"/>
      <c r="D130" s="56"/>
      <c r="E130" s="56"/>
      <c r="F130" s="56"/>
      <c r="G130" s="56"/>
      <c r="H130" s="56"/>
      <c r="I130" s="56"/>
    </row>
    <row r="131" spans="1:9" ht="12.75" customHeight="1">
      <c r="A131" s="56"/>
      <c r="B131" s="56"/>
      <c r="C131" s="56"/>
      <c r="D131" s="56"/>
      <c r="E131" s="56"/>
      <c r="F131" s="56"/>
      <c r="G131" s="56"/>
      <c r="H131" s="56"/>
      <c r="I131" s="56"/>
    </row>
    <row r="132" spans="1:9" ht="12.75" customHeight="1">
      <c r="A132" s="56"/>
      <c r="B132" s="56"/>
      <c r="C132" s="56"/>
      <c r="D132" s="56"/>
      <c r="E132" s="56"/>
      <c r="F132" s="56"/>
      <c r="G132" s="56"/>
      <c r="H132" s="56"/>
      <c r="I132" s="56"/>
    </row>
    <row r="133" spans="1:9" ht="12.75" customHeight="1">
      <c r="A133" s="56"/>
      <c r="B133" s="56"/>
      <c r="C133" s="56"/>
      <c r="D133" s="56"/>
      <c r="E133" s="56"/>
      <c r="F133" s="56"/>
      <c r="G133" s="56"/>
      <c r="H133" s="56"/>
      <c r="I133" s="56"/>
    </row>
    <row r="134" spans="1:9" ht="12.75" customHeight="1">
      <c r="A134" s="56"/>
      <c r="B134" s="56"/>
      <c r="C134" s="56"/>
      <c r="D134" s="56"/>
      <c r="E134" s="56"/>
      <c r="F134" s="56"/>
      <c r="G134" s="56"/>
      <c r="H134" s="56"/>
      <c r="I134" s="56"/>
    </row>
    <row r="135" spans="1:9" ht="12.75" customHeight="1">
      <c r="A135" s="56"/>
      <c r="B135" s="56"/>
      <c r="C135" s="56"/>
      <c r="D135" s="56"/>
      <c r="E135" s="56"/>
      <c r="F135" s="56"/>
      <c r="G135" s="56"/>
      <c r="H135" s="56"/>
      <c r="I135" s="56"/>
    </row>
    <row r="136" spans="1:9" ht="12.75" customHeight="1">
      <c r="A136" s="56"/>
      <c r="B136" s="56"/>
      <c r="C136" s="56"/>
      <c r="D136" s="56"/>
      <c r="E136" s="56"/>
      <c r="F136" s="56"/>
      <c r="G136" s="56"/>
      <c r="H136" s="56"/>
      <c r="I136" s="56"/>
    </row>
    <row r="137" spans="1:9" ht="12.75" customHeight="1">
      <c r="A137" s="56"/>
      <c r="B137" s="56"/>
      <c r="C137" s="56"/>
      <c r="D137" s="56"/>
      <c r="E137" s="56"/>
      <c r="F137" s="56"/>
      <c r="G137" s="56"/>
      <c r="H137" s="56"/>
      <c r="I137" s="56"/>
    </row>
    <row r="138" spans="1:9" ht="12.75" customHeight="1">
      <c r="A138" s="56"/>
      <c r="B138" s="56"/>
      <c r="C138" s="56"/>
      <c r="D138" s="56"/>
      <c r="E138" s="56"/>
      <c r="F138" s="56"/>
      <c r="G138" s="56"/>
      <c r="H138" s="56"/>
      <c r="I138" s="56"/>
    </row>
    <row r="139" spans="1:9" ht="12.75" customHeight="1">
      <c r="A139" s="56"/>
      <c r="B139" s="56"/>
      <c r="C139" s="56"/>
      <c r="D139" s="56"/>
      <c r="E139" s="56"/>
      <c r="F139" s="56"/>
      <c r="G139" s="56"/>
      <c r="H139" s="56"/>
      <c r="I139" s="56"/>
    </row>
    <row r="140" spans="1:9" ht="12.75" customHeight="1">
      <c r="A140" s="56"/>
      <c r="B140" s="56"/>
      <c r="C140" s="56"/>
      <c r="D140" s="56"/>
      <c r="E140" s="56"/>
      <c r="F140" s="56"/>
      <c r="G140" s="56"/>
      <c r="H140" s="56"/>
      <c r="I140" s="56"/>
    </row>
    <row r="141" spans="1:9" ht="12.75" customHeight="1">
      <c r="A141" s="56"/>
      <c r="B141" s="56"/>
      <c r="C141" s="56"/>
      <c r="D141" s="56"/>
      <c r="E141" s="56"/>
      <c r="F141" s="56"/>
      <c r="G141" s="56"/>
      <c r="H141" s="56"/>
      <c r="I141" s="56"/>
    </row>
    <row r="142" spans="1:9" ht="12.75" customHeight="1">
      <c r="A142" s="56"/>
      <c r="B142" s="56"/>
      <c r="C142" s="56"/>
      <c r="D142" s="56"/>
      <c r="E142" s="56"/>
      <c r="F142" s="56"/>
      <c r="G142" s="56"/>
      <c r="H142" s="56"/>
      <c r="I142" s="56"/>
    </row>
    <row r="143" spans="1:9" ht="12.75" customHeight="1">
      <c r="A143" s="56"/>
      <c r="B143" s="56"/>
      <c r="C143" s="56"/>
      <c r="D143" s="56"/>
      <c r="E143" s="56"/>
      <c r="F143" s="56"/>
      <c r="G143" s="56"/>
      <c r="H143" s="56"/>
      <c r="I143" s="56"/>
    </row>
    <row r="144" spans="1:9" ht="12.75" customHeight="1">
      <c r="A144" s="56"/>
      <c r="B144" s="56"/>
      <c r="C144" s="56"/>
      <c r="D144" s="56"/>
      <c r="E144" s="56"/>
      <c r="F144" s="56"/>
      <c r="G144" s="56"/>
      <c r="H144" s="56"/>
      <c r="I144" s="56"/>
    </row>
    <row r="145" spans="1:9" ht="12.75" customHeight="1">
      <c r="A145" s="56"/>
      <c r="B145" s="56"/>
      <c r="C145" s="56"/>
      <c r="D145" s="56"/>
      <c r="E145" s="56"/>
      <c r="F145" s="56"/>
      <c r="G145" s="56"/>
      <c r="H145" s="56"/>
      <c r="I145" s="56"/>
    </row>
    <row r="146" spans="1:9" ht="12.75" customHeight="1">
      <c r="A146" s="56"/>
      <c r="B146" s="56"/>
      <c r="C146" s="56"/>
      <c r="D146" s="56"/>
      <c r="E146" s="56"/>
      <c r="F146" s="56"/>
      <c r="G146" s="56"/>
      <c r="H146" s="56"/>
      <c r="I146" s="56"/>
    </row>
    <row r="147" spans="1:9" ht="12.75" customHeight="1">
      <c r="A147" s="56"/>
      <c r="B147" s="56"/>
      <c r="C147" s="56"/>
      <c r="D147" s="56"/>
      <c r="E147" s="56"/>
      <c r="F147" s="56"/>
      <c r="G147" s="56"/>
      <c r="H147" s="56"/>
      <c r="I147" s="56"/>
    </row>
    <row r="148" spans="1:9" ht="12.75" customHeight="1">
      <c r="A148" s="56"/>
      <c r="B148" s="56"/>
      <c r="C148" s="56"/>
      <c r="D148" s="56"/>
      <c r="E148" s="56"/>
      <c r="F148" s="56"/>
      <c r="G148" s="56"/>
      <c r="H148" s="56"/>
      <c r="I148" s="56"/>
    </row>
    <row r="149" spans="1:9" ht="12.75" customHeight="1">
      <c r="A149" s="56"/>
      <c r="B149" s="56"/>
      <c r="C149" s="56"/>
      <c r="D149" s="56"/>
      <c r="E149" s="56"/>
      <c r="F149" s="56"/>
      <c r="G149" s="56"/>
      <c r="H149" s="56"/>
      <c r="I149" s="56"/>
    </row>
    <row r="150" spans="1:9" ht="12.75" customHeight="1">
      <c r="A150" s="56"/>
      <c r="B150" s="56"/>
      <c r="C150" s="56"/>
      <c r="D150" s="56"/>
      <c r="E150" s="56"/>
      <c r="F150" s="56"/>
      <c r="G150" s="56"/>
      <c r="H150" s="56"/>
      <c r="I150" s="56"/>
    </row>
    <row r="151" spans="1:9" ht="12.75" customHeight="1">
      <c r="A151" s="56"/>
      <c r="B151" s="56"/>
      <c r="C151" s="56"/>
      <c r="D151" s="56"/>
      <c r="E151" s="56"/>
      <c r="F151" s="56"/>
      <c r="G151" s="56"/>
      <c r="H151" s="56"/>
      <c r="I151" s="56"/>
    </row>
    <row r="152" spans="1:9" ht="12.75" customHeight="1">
      <c r="A152" s="56"/>
      <c r="B152" s="56"/>
      <c r="C152" s="56"/>
      <c r="D152" s="56"/>
      <c r="E152" s="56"/>
      <c r="F152" s="56"/>
      <c r="G152" s="56"/>
      <c r="H152" s="56"/>
      <c r="I152" s="56"/>
    </row>
    <row r="153" spans="1:9" ht="12.75" customHeight="1">
      <c r="A153" s="56"/>
      <c r="B153" s="56"/>
      <c r="C153" s="56"/>
      <c r="D153" s="56"/>
      <c r="E153" s="56"/>
      <c r="F153" s="56"/>
      <c r="G153" s="56"/>
      <c r="H153" s="56"/>
      <c r="I153" s="56"/>
    </row>
    <row r="154" spans="1:9" ht="12.75" customHeight="1">
      <c r="A154" s="56"/>
      <c r="B154" s="56"/>
      <c r="C154" s="56"/>
      <c r="D154" s="56"/>
      <c r="E154" s="56"/>
      <c r="F154" s="56"/>
      <c r="G154" s="56"/>
      <c r="H154" s="56"/>
      <c r="I154" s="56"/>
    </row>
    <row r="155" spans="1:9" ht="12.75" customHeight="1">
      <c r="A155" s="56"/>
      <c r="B155" s="56"/>
      <c r="C155" s="56"/>
      <c r="D155" s="56"/>
      <c r="E155" s="56"/>
      <c r="F155" s="56"/>
      <c r="G155" s="56"/>
      <c r="H155" s="56"/>
      <c r="I155" s="56"/>
    </row>
    <row r="156" spans="1:9" ht="12.75" customHeight="1">
      <c r="A156" s="56"/>
      <c r="B156" s="56"/>
      <c r="C156" s="56"/>
      <c r="D156" s="56"/>
      <c r="E156" s="56"/>
      <c r="F156" s="56"/>
      <c r="G156" s="56"/>
      <c r="H156" s="56"/>
      <c r="I156" s="56"/>
    </row>
    <row r="157" spans="1:9" ht="12.75" customHeight="1">
      <c r="A157" s="56"/>
      <c r="B157" s="56"/>
      <c r="C157" s="56"/>
      <c r="D157" s="56"/>
      <c r="E157" s="56"/>
      <c r="F157" s="56"/>
      <c r="G157" s="56"/>
      <c r="H157" s="56"/>
      <c r="I157" s="56"/>
    </row>
    <row r="158" spans="1:9" ht="12.75" customHeight="1">
      <c r="A158" s="56"/>
      <c r="B158" s="56"/>
      <c r="C158" s="56"/>
      <c r="D158" s="56"/>
      <c r="E158" s="56"/>
      <c r="F158" s="56"/>
      <c r="G158" s="56"/>
      <c r="H158" s="56"/>
      <c r="I158" s="56"/>
    </row>
    <row r="159" spans="1:9" ht="12.75" customHeight="1">
      <c r="A159" s="56"/>
      <c r="B159" s="56"/>
      <c r="C159" s="56"/>
      <c r="D159" s="56"/>
      <c r="E159" s="56"/>
      <c r="F159" s="56"/>
      <c r="G159" s="56"/>
      <c r="H159" s="56"/>
      <c r="I159" s="56"/>
    </row>
    <row r="160" spans="1:9" ht="12.75" customHeight="1">
      <c r="A160" s="56"/>
      <c r="B160" s="56"/>
      <c r="C160" s="56"/>
      <c r="D160" s="56"/>
      <c r="E160" s="56"/>
      <c r="F160" s="56"/>
      <c r="G160" s="56"/>
      <c r="H160" s="56"/>
      <c r="I160" s="56"/>
    </row>
    <row r="161" spans="1:9" ht="12.75" customHeight="1">
      <c r="A161" s="56"/>
      <c r="B161" s="56"/>
      <c r="C161" s="56"/>
      <c r="D161" s="56"/>
      <c r="E161" s="56"/>
      <c r="F161" s="56"/>
      <c r="G161" s="56"/>
      <c r="H161" s="56"/>
      <c r="I161" s="56"/>
    </row>
    <row r="162" spans="1:9" ht="12.75" customHeight="1">
      <c r="A162" s="56"/>
      <c r="B162" s="56"/>
      <c r="C162" s="56"/>
      <c r="D162" s="56"/>
      <c r="E162" s="56"/>
      <c r="F162" s="56"/>
      <c r="G162" s="56"/>
      <c r="H162" s="56"/>
      <c r="I162" s="56"/>
    </row>
    <row r="163" spans="1:9" ht="12.75" customHeight="1">
      <c r="A163" s="56"/>
      <c r="B163" s="56"/>
      <c r="C163" s="56"/>
      <c r="D163" s="56"/>
      <c r="E163" s="56"/>
      <c r="F163" s="56"/>
      <c r="G163" s="56"/>
      <c r="H163" s="56"/>
      <c r="I163" s="56"/>
    </row>
  </sheetData>
  <autoFilter ref="A12:N13" xr:uid="{00000000-0009-0000-0000-000001000000}"/>
  <mergeCells count="18">
    <mergeCell ref="J12:N12"/>
    <mergeCell ref="A9:C9"/>
    <mergeCell ref="D9:I9"/>
    <mergeCell ref="A10:C10"/>
    <mergeCell ref="D10:I10"/>
    <mergeCell ref="C11:D11"/>
    <mergeCell ref="E11:N11"/>
    <mergeCell ref="A6:C6"/>
    <mergeCell ref="D6:I6"/>
    <mergeCell ref="A7:C7"/>
    <mergeCell ref="D7:I7"/>
    <mergeCell ref="A8:C8"/>
    <mergeCell ref="D8:I8"/>
    <mergeCell ref="B2:J2"/>
    <mergeCell ref="B3:J3"/>
    <mergeCell ref="C4:D4"/>
    <mergeCell ref="A5:C5"/>
    <mergeCell ref="D5:I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zoomScale="75" zoomScaleNormal="75" workbookViewId="0">
      <selection activeCell="C20" sqref="C20"/>
    </sheetView>
  </sheetViews>
  <sheetFormatPr defaultColWidth="9.140625" defaultRowHeight="12.75"/>
  <cols>
    <col min="1" max="1" width="9.140625" style="60"/>
    <col min="2" max="2" width="31.42578125" style="60" customWidth="1"/>
    <col min="3" max="16384" width="9.140625" style="60"/>
  </cols>
  <sheetData>
    <row r="1" spans="2:4" ht="30" customHeight="1">
      <c r="D1" s="61" t="s">
        <v>628</v>
      </c>
    </row>
    <row r="4" spans="2:4" ht="12.75" customHeight="1">
      <c r="B4" s="60" t="s">
        <v>629</v>
      </c>
      <c r="C4" s="60">
        <v>0</v>
      </c>
    </row>
    <row r="5" spans="2:4" ht="12.75" customHeight="1">
      <c r="B5" s="60" t="s">
        <v>630</v>
      </c>
      <c r="C5" s="60">
        <v>0</v>
      </c>
    </row>
    <row r="6" spans="2:4" ht="12.75" customHeight="1">
      <c r="B6" s="60" t="s">
        <v>631</v>
      </c>
      <c r="C6" s="60">
        <v>0</v>
      </c>
    </row>
    <row r="11" spans="2:4" ht="12.75" customHeight="1">
      <c r="B11" s="60" t="s">
        <v>632</v>
      </c>
      <c r="C11" s="60">
        <f>COUNTIF('Casos de Prueba'!E14:E200,"CP-*")</f>
        <v>85</v>
      </c>
    </row>
    <row r="12" spans="2:4" ht="12.75" customHeight="1">
      <c r="B12" s="60" t="s">
        <v>633</v>
      </c>
      <c r="C12" s="60">
        <f>COUNTIF('Casos de Prueba'!J14:J200,"X")</f>
        <v>83</v>
      </c>
    </row>
    <row r="13" spans="2:4" ht="12.75" customHeight="1">
      <c r="B13" s="60" t="s">
        <v>634</v>
      </c>
      <c r="C13" s="60">
        <f>COUNTIF('Casos de Prueba'!K14:K200,"X")</f>
        <v>2</v>
      </c>
    </row>
    <row r="14" spans="2:4" ht="12.75" customHeight="1">
      <c r="B14" s="60" t="s">
        <v>635</v>
      </c>
      <c r="C14" s="60">
        <f>COUNTIF('Casos de Prueba'!L14:L200,"X")</f>
        <v>0</v>
      </c>
    </row>
    <row r="15" spans="2:4" ht="12.75" customHeight="1">
      <c r="B15" s="60" t="s">
        <v>636</v>
      </c>
      <c r="C15" s="60">
        <f>COUNTIF('Casos de Prueba'!M14:M200,"X")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>2</cp:revision>
  <dcterms:created xsi:type="dcterms:W3CDTF">2015-05-09T15:44:09Z</dcterms:created>
  <dcterms:modified xsi:type="dcterms:W3CDTF">2026-06-26T05:27:31Z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